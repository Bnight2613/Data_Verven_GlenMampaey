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ce84ae30b8a0ab/Documenten/modelbouw/documenten/"/>
    </mc:Choice>
  </mc:AlternateContent>
  <xr:revisionPtr revIDLastSave="26" documentId="8_{84D4E1BB-5F4C-4A11-A406-1A8408BBB936}" xr6:coauthVersionLast="47" xr6:coauthVersionMax="47" xr10:uidLastSave="{EBD1A605-12FB-4CC1-9ACC-196BFF197593}"/>
  <bookViews>
    <workbookView xWindow="2955" yWindow="750" windowWidth="21885" windowHeight="19725" activeTab="2" xr2:uid="{CE1C0CD2-4656-43C6-BF11-4715B1061DA1}"/>
  </bookViews>
  <sheets>
    <sheet name="verfvoorraad" sheetId="1" r:id="rId1"/>
    <sheet name="Verf zoeken" sheetId="3" r:id="rId2"/>
    <sheet name="Bestellijst" sheetId="4" r:id="rId3"/>
    <sheet name="Table" sheetId="2" r:id="rId4"/>
  </sheets>
  <definedNames>
    <definedName name="_xlnm._FilterDatabase" localSheetId="1" hidden="1">'Verf zoeken'!$B$19:$R$64</definedName>
    <definedName name="_xlnm._FilterDatabase" localSheetId="0" hidden="1">verfvoorraad!$B$7:$J$7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4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8" i="1"/>
  <c r="H8" i="4"/>
  <c r="B8" i="4" a="1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20" i="3"/>
  <c r="O21" i="3"/>
  <c r="O22" i="3"/>
  <c r="O23" i="3"/>
  <c r="Q23" i="3" s="1"/>
  <c r="R23" i="3" s="1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20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21" i="3"/>
  <c r="L22" i="3"/>
  <c r="L20" i="3"/>
  <c r="E346" i="1"/>
  <c r="C12" i="3"/>
  <c r="C11" i="3"/>
  <c r="C10" i="3"/>
  <c r="C9" i="3"/>
  <c r="C8" i="3"/>
  <c r="C7" i="3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8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341" i="1"/>
  <c r="F342" i="1"/>
  <c r="F343" i="1"/>
  <c r="F344" i="1"/>
  <c r="F345" i="1"/>
  <c r="F340" i="1"/>
  <c r="F339" i="1"/>
  <c r="F338" i="1"/>
  <c r="F337" i="1"/>
  <c r="F119" i="1"/>
  <c r="Q37" i="3"/>
  <c r="R37" i="3" s="1"/>
  <c r="Q38" i="3"/>
  <c r="R38" i="3" s="1"/>
  <c r="Q39" i="3"/>
  <c r="R39" i="3" s="1"/>
  <c r="Q40" i="3"/>
  <c r="R40" i="3" s="1"/>
  <c r="Q41" i="3"/>
  <c r="R41" i="3" s="1"/>
  <c r="Q42" i="3"/>
  <c r="R42" i="3" s="1"/>
  <c r="Q43" i="3"/>
  <c r="R43" i="3" s="1"/>
  <c r="Q44" i="3"/>
  <c r="R44" i="3" s="1"/>
  <c r="Q45" i="3"/>
  <c r="R45" i="3" s="1"/>
  <c r="Q46" i="3"/>
  <c r="R46" i="3" s="1"/>
  <c r="Q47" i="3"/>
  <c r="R47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R55" i="3" s="1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R65" i="3" s="1"/>
  <c r="Q66" i="3"/>
  <c r="R66" i="3" s="1"/>
  <c r="Q67" i="3"/>
  <c r="R67" i="3" s="1"/>
  <c r="Q68" i="3"/>
  <c r="R68" i="3" s="1"/>
  <c r="Q69" i="3"/>
  <c r="R69" i="3" s="1"/>
  <c r="Q70" i="3"/>
  <c r="R70" i="3" s="1"/>
  <c r="Q71" i="3"/>
  <c r="R71" i="3" s="1"/>
  <c r="Q72" i="3"/>
  <c r="R72" i="3" s="1"/>
  <c r="Q73" i="3"/>
  <c r="R73" i="3" s="1"/>
  <c r="Q74" i="3"/>
  <c r="R74" i="3" s="1"/>
  <c r="Q75" i="3"/>
  <c r="R75" i="3" s="1"/>
  <c r="Q76" i="3"/>
  <c r="R76" i="3" s="1"/>
  <c r="Q77" i="3"/>
  <c r="R77" i="3" s="1"/>
  <c r="Q78" i="3"/>
  <c r="R78" i="3" s="1"/>
  <c r="Q79" i="3"/>
  <c r="R79" i="3" s="1"/>
  <c r="Q80" i="3"/>
  <c r="R80" i="3" s="1"/>
  <c r="Q81" i="3"/>
  <c r="R81" i="3" s="1"/>
  <c r="Q82" i="3"/>
  <c r="R82" i="3" s="1"/>
  <c r="Q83" i="3"/>
  <c r="R83" i="3" s="1"/>
  <c r="Q84" i="3"/>
  <c r="R84" i="3" s="1"/>
  <c r="Q85" i="3"/>
  <c r="R85" i="3" s="1"/>
  <c r="Q86" i="3"/>
  <c r="R86" i="3" s="1"/>
  <c r="Q87" i="3"/>
  <c r="R87" i="3" s="1"/>
  <c r="Q88" i="3"/>
  <c r="R88" i="3" s="1"/>
  <c r="Q89" i="3"/>
  <c r="R89" i="3" s="1"/>
  <c r="Q90" i="3"/>
  <c r="R90" i="3" s="1"/>
  <c r="Q91" i="3"/>
  <c r="R91" i="3" s="1"/>
  <c r="Q92" i="3"/>
  <c r="R92" i="3" s="1"/>
  <c r="Q93" i="3"/>
  <c r="R93" i="3" s="1"/>
  <c r="Q94" i="3"/>
  <c r="R94" i="3" s="1"/>
  <c r="Q95" i="3"/>
  <c r="R95" i="3" s="1"/>
  <c r="Q96" i="3"/>
  <c r="R96" i="3" s="1"/>
  <c r="Q97" i="3"/>
  <c r="R97" i="3" s="1"/>
  <c r="Q98" i="3"/>
  <c r="R98" i="3" s="1"/>
  <c r="Q99" i="3"/>
  <c r="R99" i="3" s="1"/>
  <c r="Q100" i="3"/>
  <c r="R100" i="3" s="1"/>
  <c r="Q101" i="3"/>
  <c r="R101" i="3" s="1"/>
  <c r="Q102" i="3"/>
  <c r="R102" i="3" s="1"/>
  <c r="Q103" i="3"/>
  <c r="R103" i="3" s="1"/>
  <c r="Q104" i="3"/>
  <c r="R104" i="3" s="1"/>
  <c r="Q105" i="3"/>
  <c r="R105" i="3" s="1"/>
  <c r="Q106" i="3"/>
  <c r="R106" i="3" s="1"/>
  <c r="Q107" i="3"/>
  <c r="R107" i="3" s="1"/>
  <c r="Q108" i="3"/>
  <c r="R108" i="3" s="1"/>
  <c r="Q109" i="3"/>
  <c r="R109" i="3" s="1"/>
  <c r="Q110" i="3"/>
  <c r="R110" i="3" s="1"/>
  <c r="Q111" i="3"/>
  <c r="R111" i="3" s="1"/>
  <c r="Q112" i="3"/>
  <c r="R112" i="3" s="1"/>
  <c r="Q113" i="3"/>
  <c r="R113" i="3" s="1"/>
  <c r="Q114" i="3"/>
  <c r="R114" i="3" s="1"/>
  <c r="Q115" i="3"/>
  <c r="R115" i="3" s="1"/>
  <c r="Q116" i="3"/>
  <c r="R116" i="3" s="1"/>
  <c r="Q117" i="3"/>
  <c r="R117" i="3" s="1"/>
  <c r="Q118" i="3"/>
  <c r="R118" i="3" s="1"/>
  <c r="Q119" i="3"/>
  <c r="R119" i="3" s="1"/>
  <c r="Q120" i="3"/>
  <c r="R120" i="3" s="1"/>
  <c r="Q121" i="3"/>
  <c r="R121" i="3" s="1"/>
  <c r="Q122" i="3"/>
  <c r="R122" i="3" s="1"/>
  <c r="Q123" i="3"/>
  <c r="R123" i="3" s="1"/>
  <c r="Q124" i="3"/>
  <c r="R124" i="3" s="1"/>
  <c r="Q125" i="3"/>
  <c r="R125" i="3" s="1"/>
  <c r="Q126" i="3"/>
  <c r="R126" i="3" s="1"/>
  <c r="Q127" i="3"/>
  <c r="R127" i="3" s="1"/>
  <c r="Q128" i="3"/>
  <c r="R128" i="3" s="1"/>
  <c r="Q129" i="3"/>
  <c r="R129" i="3" s="1"/>
  <c r="Q130" i="3"/>
  <c r="R130" i="3" s="1"/>
  <c r="Q131" i="3"/>
  <c r="R131" i="3" s="1"/>
  <c r="Q132" i="3"/>
  <c r="R132" i="3" s="1"/>
  <c r="Q133" i="3"/>
  <c r="R133" i="3" s="1"/>
  <c r="Q134" i="3"/>
  <c r="R134" i="3" s="1"/>
  <c r="Q135" i="3"/>
  <c r="R135" i="3" s="1"/>
  <c r="Q136" i="3"/>
  <c r="R136" i="3" s="1"/>
  <c r="Q137" i="3"/>
  <c r="R137" i="3" s="1"/>
  <c r="Q138" i="3"/>
  <c r="R138" i="3" s="1"/>
  <c r="Q139" i="3"/>
  <c r="R139" i="3" s="1"/>
  <c r="Q140" i="3"/>
  <c r="R140" i="3" s="1"/>
  <c r="Q141" i="3"/>
  <c r="R141" i="3" s="1"/>
  <c r="Q142" i="3"/>
  <c r="R142" i="3" s="1"/>
  <c r="Q143" i="3"/>
  <c r="R143" i="3" s="1"/>
  <c r="Q144" i="3"/>
  <c r="R144" i="3" s="1"/>
  <c r="Q145" i="3"/>
  <c r="R145" i="3" s="1"/>
  <c r="Q146" i="3"/>
  <c r="R146" i="3" s="1"/>
  <c r="Q147" i="3"/>
  <c r="R147" i="3" s="1"/>
  <c r="Q148" i="3"/>
  <c r="R148" i="3" s="1"/>
  <c r="Q149" i="3"/>
  <c r="R149" i="3" s="1"/>
  <c r="Q150" i="3"/>
  <c r="R150" i="3" s="1"/>
  <c r="Q151" i="3"/>
  <c r="R151" i="3" s="1"/>
  <c r="Q152" i="3"/>
  <c r="R152" i="3" s="1"/>
  <c r="Q153" i="3"/>
  <c r="R153" i="3" s="1"/>
  <c r="Q154" i="3"/>
  <c r="R154" i="3" s="1"/>
  <c r="Q155" i="3"/>
  <c r="R155" i="3" s="1"/>
  <c r="Q156" i="3"/>
  <c r="R156" i="3" s="1"/>
  <c r="Q157" i="3"/>
  <c r="R157" i="3" s="1"/>
  <c r="Q158" i="3"/>
  <c r="R158" i="3" s="1"/>
  <c r="Q159" i="3"/>
  <c r="R159" i="3" s="1"/>
  <c r="Q160" i="3"/>
  <c r="R160" i="3" s="1"/>
  <c r="Q161" i="3"/>
  <c r="R161" i="3" s="1"/>
  <c r="Q162" i="3"/>
  <c r="R162" i="3" s="1"/>
  <c r="Q163" i="3"/>
  <c r="R163" i="3" s="1"/>
  <c r="Q164" i="3"/>
  <c r="R164" i="3" s="1"/>
  <c r="Q165" i="3"/>
  <c r="R165" i="3" s="1"/>
  <c r="Q166" i="3"/>
  <c r="R166" i="3" s="1"/>
  <c r="Q167" i="3"/>
  <c r="R167" i="3" s="1"/>
  <c r="Q168" i="3"/>
  <c r="R168" i="3" s="1"/>
  <c r="Q169" i="3"/>
  <c r="R169" i="3" s="1"/>
  <c r="Q170" i="3"/>
  <c r="R170" i="3" s="1"/>
  <c r="Q171" i="3"/>
  <c r="R171" i="3" s="1"/>
  <c r="Q172" i="3"/>
  <c r="R172" i="3" s="1"/>
  <c r="Q173" i="3"/>
  <c r="R173" i="3" s="1"/>
  <c r="Q174" i="3"/>
  <c r="R174" i="3" s="1"/>
  <c r="Q175" i="3"/>
  <c r="R175" i="3" s="1"/>
  <c r="Q176" i="3"/>
  <c r="R176" i="3" s="1"/>
  <c r="Q177" i="3"/>
  <c r="R177" i="3" s="1"/>
  <c r="Q178" i="3"/>
  <c r="R178" i="3" s="1"/>
  <c r="Q179" i="3"/>
  <c r="R179" i="3" s="1"/>
  <c r="Q180" i="3"/>
  <c r="R180" i="3" s="1"/>
  <c r="Q181" i="3"/>
  <c r="R181" i="3" s="1"/>
  <c r="Q182" i="3"/>
  <c r="R182" i="3" s="1"/>
  <c r="Q183" i="3"/>
  <c r="R183" i="3" s="1"/>
  <c r="Q184" i="3"/>
  <c r="R184" i="3" s="1"/>
  <c r="Q185" i="3"/>
  <c r="R185" i="3" s="1"/>
  <c r="Q186" i="3"/>
  <c r="R186" i="3" s="1"/>
  <c r="Q187" i="3"/>
  <c r="R187" i="3" s="1"/>
  <c r="Q188" i="3"/>
  <c r="R188" i="3" s="1"/>
  <c r="Q189" i="3"/>
  <c r="R189" i="3" s="1"/>
  <c r="Q190" i="3"/>
  <c r="R190" i="3" s="1"/>
  <c r="Q191" i="3"/>
  <c r="R191" i="3" s="1"/>
  <c r="Q192" i="3"/>
  <c r="R192" i="3" s="1"/>
  <c r="Q193" i="3"/>
  <c r="R193" i="3" s="1"/>
  <c r="Q194" i="3"/>
  <c r="R194" i="3" s="1"/>
  <c r="Q195" i="3"/>
  <c r="R195" i="3" s="1"/>
  <c r="Q196" i="3"/>
  <c r="R196" i="3" s="1"/>
  <c r="Q197" i="3"/>
  <c r="R197" i="3" s="1"/>
  <c r="Q198" i="3"/>
  <c r="R198" i="3" s="1"/>
  <c r="Q199" i="3"/>
  <c r="R199" i="3" s="1"/>
  <c r="Q200" i="3"/>
  <c r="R200" i="3" s="1"/>
  <c r="Q201" i="3"/>
  <c r="R201" i="3" s="1"/>
  <c r="Q202" i="3"/>
  <c r="R202" i="3" s="1"/>
  <c r="Q203" i="3"/>
  <c r="R203" i="3" s="1"/>
  <c r="Q204" i="3"/>
  <c r="R204" i="3" s="1"/>
  <c r="Q205" i="3"/>
  <c r="R205" i="3" s="1"/>
  <c r="Q206" i="3"/>
  <c r="R206" i="3" s="1"/>
  <c r="Q207" i="3"/>
  <c r="R207" i="3" s="1"/>
  <c r="Q208" i="3"/>
  <c r="R208" i="3" s="1"/>
  <c r="Q209" i="3"/>
  <c r="R209" i="3" s="1"/>
  <c r="Q210" i="3"/>
  <c r="R210" i="3" s="1"/>
  <c r="Q211" i="3"/>
  <c r="R211" i="3" s="1"/>
  <c r="Q212" i="3"/>
  <c r="R212" i="3" s="1"/>
  <c r="Q213" i="3"/>
  <c r="R213" i="3" s="1"/>
  <c r="Q214" i="3"/>
  <c r="R214" i="3" s="1"/>
  <c r="Q215" i="3"/>
  <c r="R215" i="3" s="1"/>
  <c r="Q216" i="3"/>
  <c r="R216" i="3" s="1"/>
  <c r="Q217" i="3"/>
  <c r="R217" i="3" s="1"/>
  <c r="Q218" i="3"/>
  <c r="R218" i="3" s="1"/>
  <c r="Q219" i="3"/>
  <c r="R219" i="3" s="1"/>
  <c r="Q220" i="3"/>
  <c r="R220" i="3" s="1"/>
  <c r="Q221" i="3"/>
  <c r="R221" i="3" s="1"/>
  <c r="Q222" i="3"/>
  <c r="R222" i="3" s="1"/>
  <c r="Q223" i="3"/>
  <c r="R223" i="3" s="1"/>
  <c r="Q224" i="3"/>
  <c r="R224" i="3" s="1"/>
  <c r="Q225" i="3"/>
  <c r="R225" i="3" s="1"/>
  <c r="Q226" i="3"/>
  <c r="R226" i="3" s="1"/>
  <c r="Q227" i="3"/>
  <c r="R227" i="3" s="1"/>
  <c r="Q228" i="3"/>
  <c r="R228" i="3" s="1"/>
  <c r="Q229" i="3"/>
  <c r="R229" i="3" s="1"/>
  <c r="Q230" i="3"/>
  <c r="R230" i="3" s="1"/>
  <c r="Q231" i="3"/>
  <c r="R231" i="3" s="1"/>
  <c r="Q232" i="3"/>
  <c r="R232" i="3" s="1"/>
  <c r="Q233" i="3"/>
  <c r="R233" i="3" s="1"/>
  <c r="Q234" i="3"/>
  <c r="R234" i="3" s="1"/>
  <c r="Q235" i="3"/>
  <c r="R235" i="3" s="1"/>
  <c r="Q236" i="3"/>
  <c r="R236" i="3" s="1"/>
  <c r="Q237" i="3"/>
  <c r="R237" i="3" s="1"/>
  <c r="Q238" i="3"/>
  <c r="R238" i="3" s="1"/>
  <c r="Q239" i="3"/>
  <c r="R239" i="3" s="1"/>
  <c r="Q240" i="3"/>
  <c r="R240" i="3" s="1"/>
  <c r="Q241" i="3"/>
  <c r="R241" i="3" s="1"/>
  <c r="Q242" i="3"/>
  <c r="R242" i="3" s="1"/>
  <c r="Q243" i="3"/>
  <c r="R243" i="3" s="1"/>
  <c r="Q244" i="3"/>
  <c r="R244" i="3" s="1"/>
  <c r="Q245" i="3"/>
  <c r="R245" i="3" s="1"/>
  <c r="Q246" i="3"/>
  <c r="R246" i="3" s="1"/>
  <c r="Q247" i="3"/>
  <c r="R247" i="3" s="1"/>
  <c r="Q248" i="3"/>
  <c r="R248" i="3" s="1"/>
  <c r="Q249" i="3"/>
  <c r="R249" i="3" s="1"/>
  <c r="Q250" i="3"/>
  <c r="R250" i="3" s="1"/>
  <c r="Q251" i="3"/>
  <c r="R251" i="3" s="1"/>
  <c r="Q252" i="3"/>
  <c r="R252" i="3" s="1"/>
  <c r="Q253" i="3"/>
  <c r="R253" i="3" s="1"/>
  <c r="Q254" i="3"/>
  <c r="R254" i="3" s="1"/>
  <c r="Q255" i="3"/>
  <c r="R255" i="3" s="1"/>
  <c r="Q256" i="3"/>
  <c r="R256" i="3" s="1"/>
  <c r="Q257" i="3"/>
  <c r="R257" i="3" s="1"/>
  <c r="Q258" i="3"/>
  <c r="R258" i="3" s="1"/>
  <c r="Q259" i="3"/>
  <c r="R259" i="3" s="1"/>
  <c r="Q260" i="3"/>
  <c r="R260" i="3" s="1"/>
  <c r="Q261" i="3"/>
  <c r="R261" i="3" s="1"/>
  <c r="Q262" i="3"/>
  <c r="R262" i="3" s="1"/>
  <c r="Q263" i="3"/>
  <c r="R263" i="3" s="1"/>
  <c r="Q264" i="3"/>
  <c r="R264" i="3" s="1"/>
  <c r="Q265" i="3"/>
  <c r="R265" i="3" s="1"/>
  <c r="Q266" i="3"/>
  <c r="R266" i="3" s="1"/>
  <c r="Q267" i="3"/>
  <c r="R267" i="3" s="1"/>
  <c r="Q268" i="3"/>
  <c r="R268" i="3" s="1"/>
  <c r="Q269" i="3"/>
  <c r="R269" i="3" s="1"/>
  <c r="Q270" i="3"/>
  <c r="R270" i="3" s="1"/>
  <c r="Q271" i="3"/>
  <c r="R271" i="3" s="1"/>
  <c r="Q272" i="3"/>
  <c r="R272" i="3" s="1"/>
  <c r="Q273" i="3"/>
  <c r="R273" i="3" s="1"/>
  <c r="Q274" i="3"/>
  <c r="R274" i="3" s="1"/>
  <c r="Q275" i="3"/>
  <c r="R275" i="3" s="1"/>
  <c r="Q276" i="3"/>
  <c r="R276" i="3" s="1"/>
  <c r="Q277" i="3"/>
  <c r="R277" i="3" s="1"/>
  <c r="Q278" i="3"/>
  <c r="R278" i="3" s="1"/>
  <c r="Q279" i="3"/>
  <c r="R279" i="3" s="1"/>
  <c r="Q280" i="3"/>
  <c r="R280" i="3" s="1"/>
  <c r="Q281" i="3"/>
  <c r="R281" i="3" s="1"/>
  <c r="Q282" i="3"/>
  <c r="R282" i="3" s="1"/>
  <c r="Q283" i="3"/>
  <c r="R283" i="3" s="1"/>
  <c r="Q284" i="3"/>
  <c r="R284" i="3" s="1"/>
  <c r="Q285" i="3"/>
  <c r="R285" i="3" s="1"/>
  <c r="Q286" i="3"/>
  <c r="R286" i="3" s="1"/>
  <c r="Q287" i="3"/>
  <c r="R287" i="3" s="1"/>
  <c r="Q288" i="3"/>
  <c r="R288" i="3" s="1"/>
  <c r="Q289" i="3"/>
  <c r="R289" i="3" s="1"/>
  <c r="Q290" i="3"/>
  <c r="R290" i="3" s="1"/>
  <c r="Q291" i="3"/>
  <c r="R291" i="3" s="1"/>
  <c r="Q292" i="3"/>
  <c r="R292" i="3" s="1"/>
  <c r="Q293" i="3"/>
  <c r="R293" i="3" s="1"/>
  <c r="Q294" i="3"/>
  <c r="R294" i="3" s="1"/>
  <c r="Q295" i="3"/>
  <c r="R295" i="3" s="1"/>
  <c r="Q296" i="3"/>
  <c r="R296" i="3" s="1"/>
  <c r="Q297" i="3"/>
  <c r="R297" i="3" s="1"/>
  <c r="Q298" i="3"/>
  <c r="R298" i="3" s="1"/>
  <c r="Q299" i="3"/>
  <c r="R299" i="3" s="1"/>
  <c r="Q300" i="3"/>
  <c r="R300" i="3" s="1"/>
  <c r="Q301" i="3"/>
  <c r="R301" i="3" s="1"/>
  <c r="Q302" i="3"/>
  <c r="R302" i="3" s="1"/>
  <c r="Q303" i="3"/>
  <c r="R303" i="3" s="1"/>
  <c r="Q304" i="3"/>
  <c r="R304" i="3" s="1"/>
  <c r="Q305" i="3"/>
  <c r="R305" i="3" s="1"/>
  <c r="Q306" i="3"/>
  <c r="R306" i="3" s="1"/>
  <c r="Q307" i="3"/>
  <c r="R307" i="3" s="1"/>
  <c r="Q308" i="3"/>
  <c r="R308" i="3" s="1"/>
  <c r="Q309" i="3"/>
  <c r="R309" i="3" s="1"/>
  <c r="Q310" i="3"/>
  <c r="R310" i="3" s="1"/>
  <c r="Q311" i="3"/>
  <c r="R311" i="3" s="1"/>
  <c r="Q312" i="3"/>
  <c r="R312" i="3" s="1"/>
  <c r="Q313" i="3"/>
  <c r="R313" i="3" s="1"/>
  <c r="Q314" i="3"/>
  <c r="R314" i="3" s="1"/>
  <c r="Q315" i="3"/>
  <c r="R315" i="3" s="1"/>
  <c r="Q316" i="3"/>
  <c r="R316" i="3" s="1"/>
  <c r="Q317" i="3"/>
  <c r="R317" i="3" s="1"/>
  <c r="Q318" i="3"/>
  <c r="R318" i="3" s="1"/>
  <c r="Q319" i="3"/>
  <c r="R319" i="3" s="1"/>
  <c r="Q320" i="3"/>
  <c r="R320" i="3" s="1"/>
  <c r="Q321" i="3"/>
  <c r="R321" i="3" s="1"/>
  <c r="Q322" i="3"/>
  <c r="R322" i="3" s="1"/>
  <c r="Q323" i="3"/>
  <c r="R323" i="3" s="1"/>
  <c r="Q324" i="3"/>
  <c r="R324" i="3" s="1"/>
  <c r="Q325" i="3"/>
  <c r="R325" i="3" s="1"/>
  <c r="Q326" i="3"/>
  <c r="R326" i="3" s="1"/>
  <c r="Q327" i="3"/>
  <c r="R327" i="3" s="1"/>
  <c r="Q328" i="3"/>
  <c r="R328" i="3" s="1"/>
  <c r="Q329" i="3"/>
  <c r="R329" i="3" s="1"/>
  <c r="Q330" i="3"/>
  <c r="R330" i="3" s="1"/>
  <c r="Q331" i="3"/>
  <c r="R331" i="3" s="1"/>
  <c r="Q332" i="3"/>
  <c r="R332" i="3" s="1"/>
  <c r="Q333" i="3"/>
  <c r="R333" i="3" s="1"/>
  <c r="Q334" i="3"/>
  <c r="R334" i="3" s="1"/>
  <c r="Q335" i="3"/>
  <c r="R335" i="3" s="1"/>
  <c r="Q336" i="3"/>
  <c r="R336" i="3" s="1"/>
  <c r="Q337" i="3"/>
  <c r="R337" i="3" s="1"/>
  <c r="Q338" i="3"/>
  <c r="R338" i="3" s="1"/>
  <c r="Q339" i="3"/>
  <c r="R339" i="3" s="1"/>
  <c r="Q340" i="3"/>
  <c r="R340" i="3" s="1"/>
  <c r="Q341" i="3"/>
  <c r="R341" i="3" s="1"/>
  <c r="Q342" i="3"/>
  <c r="R342" i="3" s="1"/>
  <c r="Q343" i="3"/>
  <c r="R343" i="3" s="1"/>
  <c r="Q344" i="3"/>
  <c r="R344" i="3" s="1"/>
  <c r="Q345" i="3"/>
  <c r="R345" i="3" s="1"/>
  <c r="Q346" i="3"/>
  <c r="R346" i="3" s="1"/>
  <c r="Q347" i="3"/>
  <c r="R347" i="3" s="1"/>
  <c r="Q348" i="3"/>
  <c r="R348" i="3" s="1"/>
  <c r="Q349" i="3"/>
  <c r="R349" i="3" s="1"/>
  <c r="Q350" i="3"/>
  <c r="R350" i="3" s="1"/>
  <c r="Q351" i="3"/>
  <c r="R351" i="3" s="1"/>
  <c r="Q352" i="3"/>
  <c r="R352" i="3" s="1"/>
  <c r="Q353" i="3"/>
  <c r="R353" i="3" s="1"/>
  <c r="Q354" i="3"/>
  <c r="R354" i="3" s="1"/>
  <c r="Q355" i="3"/>
  <c r="R355" i="3" s="1"/>
  <c r="Q356" i="3"/>
  <c r="R356" i="3" s="1"/>
  <c r="Q357" i="3"/>
  <c r="R357" i="3" s="1"/>
  <c r="Q358" i="3"/>
  <c r="R358" i="3" s="1"/>
  <c r="Q359" i="3"/>
  <c r="R359" i="3" s="1"/>
  <c r="Q360" i="3"/>
  <c r="R360" i="3" s="1"/>
  <c r="Q361" i="3"/>
  <c r="R361" i="3" s="1"/>
  <c r="Q362" i="3"/>
  <c r="R362" i="3" s="1"/>
  <c r="Q363" i="3"/>
  <c r="R363" i="3" s="1"/>
  <c r="Q364" i="3"/>
  <c r="R364" i="3" s="1"/>
  <c r="Q365" i="3"/>
  <c r="R365" i="3" s="1"/>
  <c r="Q366" i="3"/>
  <c r="R366" i="3" s="1"/>
  <c r="Q367" i="3"/>
  <c r="R367" i="3" s="1"/>
  <c r="Q368" i="3"/>
  <c r="R368" i="3" s="1"/>
  <c r="Q369" i="3"/>
  <c r="R369" i="3" s="1"/>
  <c r="Q370" i="3"/>
  <c r="R370" i="3" s="1"/>
  <c r="Q371" i="3"/>
  <c r="R371" i="3" s="1"/>
  <c r="Q372" i="3"/>
  <c r="R372" i="3" s="1"/>
  <c r="Q373" i="3"/>
  <c r="R373" i="3" s="1"/>
  <c r="Q374" i="3"/>
  <c r="R374" i="3" s="1"/>
  <c r="Q375" i="3"/>
  <c r="R375" i="3" s="1"/>
  <c r="Q376" i="3"/>
  <c r="R376" i="3" s="1"/>
  <c r="Q377" i="3"/>
  <c r="R377" i="3" s="1"/>
  <c r="Q378" i="3"/>
  <c r="R378" i="3" s="1"/>
  <c r="Q379" i="3"/>
  <c r="R379" i="3" s="1"/>
  <c r="Q380" i="3"/>
  <c r="R380" i="3" s="1"/>
  <c r="Q381" i="3"/>
  <c r="R381" i="3" s="1"/>
  <c r="Q382" i="3"/>
  <c r="R382" i="3" s="1"/>
  <c r="Q383" i="3"/>
  <c r="R383" i="3" s="1"/>
  <c r="Q384" i="3"/>
  <c r="R384" i="3" s="1"/>
  <c r="Q385" i="3"/>
  <c r="R385" i="3" s="1"/>
  <c r="Q386" i="3"/>
  <c r="R386" i="3" s="1"/>
  <c r="Q387" i="3"/>
  <c r="R387" i="3" s="1"/>
  <c r="Q388" i="3"/>
  <c r="R388" i="3" s="1"/>
  <c r="Q389" i="3"/>
  <c r="R389" i="3" s="1"/>
  <c r="Q390" i="3"/>
  <c r="R390" i="3" s="1"/>
  <c r="Q391" i="3"/>
  <c r="R391" i="3" s="1"/>
  <c r="Q392" i="3"/>
  <c r="R392" i="3" s="1"/>
  <c r="Q393" i="3"/>
  <c r="R393" i="3" s="1"/>
  <c r="Q394" i="3"/>
  <c r="R394" i="3" s="1"/>
  <c r="Q395" i="3"/>
  <c r="R395" i="3" s="1"/>
  <c r="Q396" i="3"/>
  <c r="R396" i="3" s="1"/>
  <c r="Q397" i="3"/>
  <c r="R397" i="3" s="1"/>
  <c r="Q398" i="3"/>
  <c r="R398" i="3" s="1"/>
  <c r="Q399" i="3"/>
  <c r="R399" i="3" s="1"/>
  <c r="Q400" i="3"/>
  <c r="R400" i="3" s="1"/>
  <c r="Q401" i="3"/>
  <c r="R401" i="3" s="1"/>
  <c r="Q402" i="3"/>
  <c r="R402" i="3" s="1"/>
  <c r="Q403" i="3"/>
  <c r="R403" i="3" s="1"/>
  <c r="Q404" i="3"/>
  <c r="R404" i="3" s="1"/>
  <c r="Q405" i="3"/>
  <c r="R405" i="3" s="1"/>
  <c r="Q406" i="3"/>
  <c r="R406" i="3" s="1"/>
  <c r="Q407" i="3"/>
  <c r="R407" i="3" s="1"/>
  <c r="Q408" i="3"/>
  <c r="R408" i="3" s="1"/>
  <c r="Q409" i="3"/>
  <c r="R409" i="3" s="1"/>
  <c r="Q410" i="3"/>
  <c r="R410" i="3" s="1"/>
  <c r="Q411" i="3"/>
  <c r="R411" i="3" s="1"/>
  <c r="Q412" i="3"/>
  <c r="R412" i="3" s="1"/>
  <c r="Q413" i="3"/>
  <c r="R413" i="3" s="1"/>
  <c r="Q414" i="3"/>
  <c r="R414" i="3" s="1"/>
  <c r="Q415" i="3"/>
  <c r="R415" i="3" s="1"/>
  <c r="Q416" i="3"/>
  <c r="R416" i="3" s="1"/>
  <c r="Q417" i="3"/>
  <c r="R417" i="3" s="1"/>
  <c r="Q418" i="3"/>
  <c r="R418" i="3" s="1"/>
  <c r="Q419" i="3"/>
  <c r="R419" i="3" s="1"/>
  <c r="Q420" i="3"/>
  <c r="R420" i="3" s="1"/>
  <c r="Q421" i="3"/>
  <c r="R421" i="3" s="1"/>
  <c r="Q422" i="3"/>
  <c r="R422" i="3" s="1"/>
  <c r="Q423" i="3"/>
  <c r="R423" i="3" s="1"/>
  <c r="Q424" i="3"/>
  <c r="R424" i="3" s="1"/>
  <c r="Q425" i="3"/>
  <c r="R425" i="3" s="1"/>
  <c r="Q426" i="3"/>
  <c r="R426" i="3" s="1"/>
  <c r="Q427" i="3"/>
  <c r="R427" i="3" s="1"/>
  <c r="Q428" i="3"/>
  <c r="R428" i="3" s="1"/>
  <c r="Q429" i="3"/>
  <c r="R429" i="3" s="1"/>
  <c r="Q430" i="3"/>
  <c r="R430" i="3" s="1"/>
  <c r="Q431" i="3"/>
  <c r="R431" i="3" s="1"/>
  <c r="Q432" i="3"/>
  <c r="R432" i="3" s="1"/>
  <c r="Q433" i="3"/>
  <c r="R433" i="3" s="1"/>
  <c r="Q434" i="3"/>
  <c r="R434" i="3" s="1"/>
  <c r="Q435" i="3"/>
  <c r="R435" i="3" s="1"/>
  <c r="Q436" i="3"/>
  <c r="R436" i="3" s="1"/>
  <c r="Q437" i="3"/>
  <c r="R437" i="3" s="1"/>
  <c r="Q438" i="3"/>
  <c r="R438" i="3" s="1"/>
  <c r="Q439" i="3"/>
  <c r="R439" i="3" s="1"/>
  <c r="Q440" i="3"/>
  <c r="R440" i="3" s="1"/>
  <c r="Q441" i="3"/>
  <c r="R441" i="3" s="1"/>
  <c r="Q442" i="3"/>
  <c r="R442" i="3" s="1"/>
  <c r="Q443" i="3"/>
  <c r="R443" i="3" s="1"/>
  <c r="Q444" i="3"/>
  <c r="R444" i="3" s="1"/>
  <c r="Q445" i="3"/>
  <c r="R445" i="3" s="1"/>
  <c r="Q446" i="3"/>
  <c r="R446" i="3" s="1"/>
  <c r="Q447" i="3"/>
  <c r="R447" i="3" s="1"/>
  <c r="Q448" i="3"/>
  <c r="R448" i="3" s="1"/>
  <c r="Q449" i="3"/>
  <c r="R449" i="3" s="1"/>
  <c r="Q450" i="3"/>
  <c r="R450" i="3" s="1"/>
  <c r="Q451" i="3"/>
  <c r="R451" i="3" s="1"/>
  <c r="Q452" i="3"/>
  <c r="R452" i="3" s="1"/>
  <c r="Q453" i="3"/>
  <c r="R453" i="3" s="1"/>
  <c r="Q454" i="3"/>
  <c r="R454" i="3" s="1"/>
  <c r="Q455" i="3"/>
  <c r="R455" i="3" s="1"/>
  <c r="Q456" i="3"/>
  <c r="R456" i="3" s="1"/>
  <c r="Q457" i="3"/>
  <c r="R457" i="3" s="1"/>
  <c r="Q458" i="3"/>
  <c r="R458" i="3" s="1"/>
  <c r="Q459" i="3"/>
  <c r="R459" i="3" s="1"/>
  <c r="Q460" i="3"/>
  <c r="R460" i="3" s="1"/>
  <c r="Q461" i="3"/>
  <c r="R461" i="3" s="1"/>
  <c r="Q462" i="3"/>
  <c r="R462" i="3" s="1"/>
  <c r="Q463" i="3"/>
  <c r="R463" i="3" s="1"/>
  <c r="Q464" i="3"/>
  <c r="R464" i="3" s="1"/>
  <c r="Q465" i="3"/>
  <c r="R465" i="3" s="1"/>
  <c r="Q466" i="3"/>
  <c r="R466" i="3" s="1"/>
  <c r="Q467" i="3"/>
  <c r="R467" i="3" s="1"/>
  <c r="Q468" i="3"/>
  <c r="R468" i="3" s="1"/>
  <c r="Q469" i="3"/>
  <c r="R469" i="3" s="1"/>
  <c r="Q470" i="3"/>
  <c r="R470" i="3" s="1"/>
  <c r="Q471" i="3"/>
  <c r="R471" i="3" s="1"/>
  <c r="Q472" i="3"/>
  <c r="R472" i="3" s="1"/>
  <c r="Q473" i="3"/>
  <c r="R473" i="3" s="1"/>
  <c r="Q474" i="3"/>
  <c r="R474" i="3" s="1"/>
  <c r="Q475" i="3"/>
  <c r="R475" i="3" s="1"/>
  <c r="Q476" i="3"/>
  <c r="R476" i="3" s="1"/>
  <c r="Q477" i="3"/>
  <c r="R477" i="3" s="1"/>
  <c r="Q478" i="3"/>
  <c r="R478" i="3" s="1"/>
  <c r="Q479" i="3"/>
  <c r="R479" i="3" s="1"/>
  <c r="Q480" i="3"/>
  <c r="R480" i="3" s="1"/>
  <c r="Q481" i="3"/>
  <c r="R481" i="3" s="1"/>
  <c r="Q482" i="3"/>
  <c r="R482" i="3" s="1"/>
  <c r="Q483" i="3"/>
  <c r="R483" i="3" s="1"/>
  <c r="Q484" i="3"/>
  <c r="R484" i="3" s="1"/>
  <c r="Q485" i="3"/>
  <c r="R485" i="3" s="1"/>
  <c r="Q486" i="3"/>
  <c r="R486" i="3" s="1"/>
  <c r="Q487" i="3"/>
  <c r="R487" i="3" s="1"/>
  <c r="Q488" i="3"/>
  <c r="R488" i="3" s="1"/>
  <c r="Q489" i="3"/>
  <c r="R489" i="3" s="1"/>
  <c r="Q490" i="3"/>
  <c r="R490" i="3" s="1"/>
  <c r="Q491" i="3"/>
  <c r="R491" i="3" s="1"/>
  <c r="Q492" i="3"/>
  <c r="R492" i="3" s="1"/>
  <c r="Q493" i="3"/>
  <c r="R493" i="3" s="1"/>
  <c r="Q494" i="3"/>
  <c r="R494" i="3" s="1"/>
  <c r="Q495" i="3"/>
  <c r="R495" i="3" s="1"/>
  <c r="Q496" i="3"/>
  <c r="R496" i="3" s="1"/>
  <c r="Q497" i="3"/>
  <c r="R497" i="3" s="1"/>
  <c r="Q498" i="3"/>
  <c r="R498" i="3" s="1"/>
  <c r="Q499" i="3"/>
  <c r="R499" i="3" s="1"/>
  <c r="Q500" i="3"/>
  <c r="R500" i="3" s="1"/>
  <c r="Q25" i="3"/>
  <c r="R25" i="3" s="1"/>
  <c r="Q26" i="3"/>
  <c r="R26" i="3" s="1"/>
  <c r="Q27" i="3"/>
  <c r="R27" i="3" s="1"/>
  <c r="Q28" i="3"/>
  <c r="R28" i="3" s="1"/>
  <c r="Q29" i="3"/>
  <c r="R29" i="3" s="1"/>
  <c r="Q30" i="3"/>
  <c r="R30" i="3" s="1"/>
  <c r="Q31" i="3"/>
  <c r="R31" i="3" s="1"/>
  <c r="Q32" i="3"/>
  <c r="R32" i="3" s="1"/>
  <c r="Q33" i="3"/>
  <c r="R33" i="3" s="1"/>
  <c r="Q34" i="3"/>
  <c r="R34" i="3" s="1"/>
  <c r="Q35" i="3"/>
  <c r="R35" i="3" s="1"/>
  <c r="Q36" i="3"/>
  <c r="R36" i="3" s="1"/>
  <c r="B20" i="3" a="1"/>
  <c r="F110" i="1"/>
  <c r="F113" i="1"/>
  <c r="F116" i="1"/>
  <c r="F115" i="1"/>
  <c r="F111" i="1"/>
  <c r="F118" i="1"/>
  <c r="F114" i="1"/>
  <c r="F107" i="1"/>
  <c r="F105" i="1"/>
  <c r="F106" i="1"/>
  <c r="F117" i="1"/>
  <c r="F108" i="1"/>
  <c r="F112" i="1"/>
  <c r="F109" i="1"/>
  <c r="F333" i="1"/>
  <c r="F334" i="1"/>
  <c r="F335" i="1"/>
  <c r="F336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8" i="1"/>
  <c r="I8" i="4" l="1"/>
  <c r="Q22" i="3"/>
  <c r="R22" i="3" s="1"/>
  <c r="Q24" i="3"/>
  <c r="R24" i="3" s="1"/>
  <c r="Q20" i="3"/>
  <c r="R20" i="3" s="1"/>
  <c r="Q21" i="3"/>
  <c r="R2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<sst xmlns="http://schemas.openxmlformats.org/spreadsheetml/2006/main" count="1438" uniqueCount="569">
  <si>
    <t>Model Air - White</t>
  </si>
  <si>
    <t>Model Air - Yellow</t>
  </si>
  <si>
    <t>Model Air - Scarlet Red</t>
  </si>
  <si>
    <t>Model Air - Blue</t>
  </si>
  <si>
    <t>Model Air - Intermediate Blue</t>
  </si>
  <si>
    <t>Model Air - Camouflage Light Green</t>
  </si>
  <si>
    <t>Model Air - Olive Green</t>
  </si>
  <si>
    <t>Model Air - Pale Blue</t>
  </si>
  <si>
    <t>Model Air - Duck Egg Green</t>
  </si>
  <si>
    <t>Model Air - Interior Green</t>
  </si>
  <si>
    <t>Model Air - Tank Green</t>
  </si>
  <si>
    <t>Model Air - Dark Green</t>
  </si>
  <si>
    <t>Model Air - Yellow Olive</t>
  </si>
  <si>
    <t>Model Air - Gunship Green</t>
  </si>
  <si>
    <t>Model Air - Olive Grey</t>
  </si>
  <si>
    <t>Model Air - US Dark Green</t>
  </si>
  <si>
    <t>Model Air - Russian Green</t>
  </si>
  <si>
    <t>Model Air - Camouflage Black Green</t>
  </si>
  <si>
    <t>Model Air - Camouflage Dark Green</t>
  </si>
  <si>
    <t>Model Air - German Green</t>
  </si>
  <si>
    <t>Model Air - Black Green</t>
  </si>
  <si>
    <t>Model Air - Camouflage Green</t>
  </si>
  <si>
    <t>Model Air - Hemp</t>
  </si>
  <si>
    <t>Model Air - Khaki Brown</t>
  </si>
  <si>
    <t>Model Air - Dark Yellow</t>
  </si>
  <si>
    <t>Model Air - US Flat Brown</t>
  </si>
  <si>
    <t>Model Air - Light Brown</t>
  </si>
  <si>
    <t>Model Air - Sand Yellow</t>
  </si>
  <si>
    <t>Model Air - Dark Earth</t>
  </si>
  <si>
    <t>Model Air - Green Brown</t>
  </si>
  <si>
    <t>Model Air - Middle Stone</t>
  </si>
  <si>
    <t>Model Air - Golden Brown</t>
  </si>
  <si>
    <t>Model Air - Ochre</t>
  </si>
  <si>
    <t>Model Air - Sandy Brown</t>
  </si>
  <si>
    <t>Model Air - Camouflage Light Brown</t>
  </si>
  <si>
    <t>Model Air - Mahagony</t>
  </si>
  <si>
    <t>Model Air - Mud Brown</t>
  </si>
  <si>
    <t>Model Air - Camouflage Medium Brown</t>
  </si>
  <si>
    <t>Model Air - Hull Red</t>
  </si>
  <si>
    <t>Model Air - Burnt Umber</t>
  </si>
  <si>
    <t>Model Air - Tank Brown</t>
  </si>
  <si>
    <t>Model Air - Camouflage Black Brown</t>
  </si>
  <si>
    <t>Model Air - Olive Drab</t>
  </si>
  <si>
    <t>Model Air - Light Grey Green</t>
  </si>
  <si>
    <t>Model Air - US Grey Light</t>
  </si>
  <si>
    <t>Model Air - Pale Grey Blue</t>
  </si>
  <si>
    <t>Model Air - US Grey</t>
  </si>
  <si>
    <t>Model Air - Dark Sea Grey</t>
  </si>
  <si>
    <t>Model Air - Medium Sea Grey</t>
  </si>
  <si>
    <t>Model Air - Light Grey</t>
  </si>
  <si>
    <t>Model Air - Barley Grey</t>
  </si>
  <si>
    <t>Model Air - German Grey</t>
  </si>
  <si>
    <t>Model Air - Dark Seagreen</t>
  </si>
  <si>
    <t>Model Air - Dark Grey Blue</t>
  </si>
  <si>
    <t>Model Air - Black Grey</t>
  </si>
  <si>
    <t>Model Air - Black</t>
  </si>
  <si>
    <t>Model Air - Gloss Varnish</t>
  </si>
  <si>
    <t>Model Air - Matte Varnish</t>
  </si>
  <si>
    <t>Model Air - Satin Varnish</t>
  </si>
  <si>
    <t>Model Air - Thinners 30ml (x4)</t>
  </si>
  <si>
    <t>Model Air - Aluminium (Metallic)</t>
  </si>
  <si>
    <t>Model Air - Silver (Metallic)</t>
  </si>
  <si>
    <t>Model Air - Chrome (Metallic)</t>
  </si>
  <si>
    <t>Model Air - Steel (Metallic)</t>
  </si>
  <si>
    <t>Model Air - Gold (Metallic)</t>
  </si>
  <si>
    <t>Model Air - Bright Brass (Metallic)</t>
  </si>
  <si>
    <t>Model Air - Copper (Metallic)</t>
  </si>
  <si>
    <t>Model Air - Rust (Metallic)</t>
  </si>
  <si>
    <t>Model Air - Turn Signal Red (Metallic)</t>
  </si>
  <si>
    <t>Model Air - Artic Blue (Metallic)</t>
  </si>
  <si>
    <t>Model Air - Gun (Metallic)</t>
  </si>
  <si>
    <t>Model Air - Black (Metallic)</t>
  </si>
  <si>
    <t>Model Air - Radome Tan</t>
  </si>
  <si>
    <t>Model Air - Sand</t>
  </si>
  <si>
    <t>Model Air - Skin Tone</t>
  </si>
  <si>
    <t>Model Air - Wood</t>
  </si>
  <si>
    <t>Model Air - Gold Yellow</t>
  </si>
  <si>
    <t>Model Air - Flat Tan</t>
  </si>
  <si>
    <t>Model Air - Rust</t>
  </si>
  <si>
    <t>Model Air - Tank Dark Yellow 1943</t>
  </si>
  <si>
    <t>Model Air - Fluorescent Red</t>
  </si>
  <si>
    <t>Model Air - Orange</t>
  </si>
  <si>
    <t>Model Air - Fire Red</t>
  </si>
  <si>
    <t>Model Air - Italian Red</t>
  </si>
  <si>
    <t>Model Air - Light Red</t>
  </si>
  <si>
    <t>Model Air - Dark Sea Blue</t>
  </si>
  <si>
    <t>Model Air - French Blue</t>
  </si>
  <si>
    <t>Model Air - Light Sea Blue</t>
  </si>
  <si>
    <t>Model Air - Blue Angel Blue</t>
  </si>
  <si>
    <t>Model Air - Insignia Blue</t>
  </si>
  <si>
    <t>Model Air - Medium Green</t>
  </si>
  <si>
    <t>Model Air - Field Green</t>
  </si>
  <si>
    <t>Model Air - Green Zinc Chromate</t>
  </si>
  <si>
    <t>Model Air - Pale Green</t>
  </si>
  <si>
    <t>Model Air - Panzer Olive Green 1943</t>
  </si>
  <si>
    <t>Model Air - Grey Primer</t>
  </si>
  <si>
    <t>Kleurnaam: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</si>
  <si>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</si>
  <si>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</si>
  <si>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</si>
  <si>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</si>
  <si>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</si>
  <si>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</si>
  <si>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</si>
  <si>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</si>
  <si>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</si>
  <si>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</si>
  <si>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</si>
  <si>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</si>
  <si>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</si>
  <si>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</si>
  <si>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</si>
  <si>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</si>
  <si>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</si>
  <si>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</si>
  <si>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</si>
  <si>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</si>
  <si>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</si>
  <si>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</si>
  <si>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</si>
  <si>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</si>
  <si>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</si>
  <si>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</si>
  <si>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</si>
  <si>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</si>
  <si>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</si>
  <si>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</si>
  <si>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</si>
  <si>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</si>
  <si>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</si>
  <si>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</si>
  <si>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</si>
  <si>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</si>
  <si>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</si>
  <si>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</si>
  <si>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</si>
  <si>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</si>
  <si>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</si>
  <si>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</si>
  <si>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</si>
  <si>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</si>
  <si>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</si>
  <si>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</si>
  <si>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</si>
  <si>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</si>
  <si>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</si>
  <si>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</si>
  <si>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</si>
  <si>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</si>
  <si>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</si>
  <si>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</si>
  <si>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</si>
  <si>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</si>
  <si>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</si>
  <si>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</si>
  <si>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</si>
  <si>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</si>
  <si>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</si>
  <si>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</si>
  <si>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</si>
  <si>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</si>
  <si>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</si>
  <si>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</si>
  <si>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</si>
  <si>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</si>
  <si>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</si>
  <si>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</si>
  <si>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</si>
  <si>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</si>
  <si>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</si>
  <si>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</si>
  <si>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</si>
  <si>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</si>
  <si>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</si>
  <si>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</si>
  <si>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</si>
  <si>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</si>
  <si>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</si>
  <si>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</si>
  <si>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</si>
  <si>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</si>
  <si>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</si>
  <si>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</si>
  <si>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</si>
  <si>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</si>
  <si>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</si>
  <si>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</si>
  <si>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</si>
  <si>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</si>
  <si>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</si>
  <si>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</si>
  <si>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</si>
  <si>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</si>
  <si>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</si>
  <si>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Artikelnummer:</t>
  </si>
  <si>
    <t>Model Color - Plastic Putty</t>
  </si>
  <si>
    <t>Model Color - Glossy Medium</t>
  </si>
  <si>
    <t>Model Color - Glossy Varnish</t>
  </si>
  <si>
    <t>Model Color - Matt Varnish</t>
  </si>
  <si>
    <t>Model Color - Metal Medium</t>
  </si>
  <si>
    <t>Model Color - Satin Varnish</t>
  </si>
  <si>
    <t>Model Color - Liquid Mask</t>
  </si>
  <si>
    <t>Model Color - Thinner</t>
  </si>
  <si>
    <t>Model Color - Matte Medium</t>
  </si>
  <si>
    <t>Model Color - Glaze Medium</t>
  </si>
  <si>
    <t>Model Color - Drying Retarder</t>
  </si>
  <si>
    <t>Model Color - Crackel Medium</t>
  </si>
  <si>
    <t>Model Color - Pumice Stone</t>
  </si>
  <si>
    <t>Model Color - Fluorescent Yellow</t>
  </si>
  <si>
    <t>Model Color - Fluorescent Orange</t>
  </si>
  <si>
    <t>Model Color - Fluorescent Magenta</t>
  </si>
  <si>
    <t>Model Color - Fluorescent Blue</t>
  </si>
  <si>
    <t>Model Color - Fluorescent Green</t>
  </si>
  <si>
    <t>Model Color - Metallic Gunmetal Blue</t>
  </si>
  <si>
    <t>Model Color - Metallic Brass</t>
  </si>
  <si>
    <t>Model Color - Sunset Red</t>
  </si>
  <si>
    <t>Model Color - Brown Rose</t>
  </si>
  <si>
    <t>Model Color - Beige Red</t>
  </si>
  <si>
    <t>Model Color - German Orange</t>
  </si>
  <si>
    <t>Model Color - German Yellow</t>
  </si>
  <si>
    <t>Model Color - Oxford Blue</t>
  </si>
  <si>
    <t>Model Color - Blue Green</t>
  </si>
  <si>
    <t>Model Color - Royal Blue</t>
  </si>
  <si>
    <t>Model Color - Royal Purple</t>
  </si>
  <si>
    <t>Model Color - Blue Violet</t>
  </si>
  <si>
    <t>Model Color - Violet Red</t>
  </si>
  <si>
    <t>Model Color - Burnt Cadmium Red</t>
  </si>
  <si>
    <t>Model Color - Basic Skintone</t>
  </si>
  <si>
    <t>Model Color - Luftwaffe Uniform WWII</t>
  </si>
  <si>
    <t>Model Color - Scarlet</t>
  </si>
  <si>
    <t>Model Color - Red Leather</t>
  </si>
  <si>
    <t>Model Color - Iraqi Sand</t>
  </si>
  <si>
    <t>Model Color - Offwhite</t>
  </si>
  <si>
    <t>Model Color - German Cam Beige WWII</t>
  </si>
  <si>
    <t>Model Color - German Cam Black Brown</t>
  </si>
  <si>
    <t>Model Color - Luftwaffe Cam Green</t>
  </si>
  <si>
    <t>Model Color - German Cam. Orange Ochre</t>
  </si>
  <si>
    <t>Model Color - German Cam Pale Brown</t>
  </si>
  <si>
    <t>Model Color - German Cam Medium Brown</t>
  </si>
  <si>
    <t>Model Color - Lime Green</t>
  </si>
  <si>
    <t>Model Color - Woodgrain</t>
  </si>
  <si>
    <t>Model Color - Amarantha Red</t>
  </si>
  <si>
    <t>Model Color - German Fieldgrey WWII</t>
  </si>
  <si>
    <t>Model Color - Tan Glaze</t>
  </si>
  <si>
    <t>Model Color - Verdigris Glaze</t>
  </si>
  <si>
    <t>Model Color - German Cam. Bright Green</t>
  </si>
  <si>
    <t>Model Color - Natural Wood</t>
  </si>
  <si>
    <t>Model Color - Salmon Rose</t>
  </si>
  <si>
    <t>Model Color - London Grey</t>
  </si>
  <si>
    <t>Model Color - Pale Sand</t>
  </si>
  <si>
    <t>Model Color - Emerald</t>
  </si>
  <si>
    <t>Model Color - Ultramarine</t>
  </si>
  <si>
    <t>Model Color - Light Turquoise</t>
  </si>
  <si>
    <t>Model Color - Andrea Blue</t>
  </si>
  <si>
    <t>Model Color - Gloss White</t>
  </si>
  <si>
    <t>Model Color - Cork Brown</t>
  </si>
  <si>
    <t>Model Color - Deep Sky Blue</t>
  </si>
  <si>
    <t>Model Color - Sunny Skin Tone</t>
  </si>
  <si>
    <t>Model Color - Mahogany Brown</t>
  </si>
  <si>
    <t>Model Color - Dark Sand</t>
  </si>
  <si>
    <t>#N/A</t>
  </si>
  <si>
    <t>Model Color - Medium Olive</t>
  </si>
  <si>
    <t>Model Color - Bright Orange</t>
  </si>
  <si>
    <t>Model Color - White Glaze</t>
  </si>
  <si>
    <t>Model Color - Brown Glaze</t>
  </si>
  <si>
    <t>Model Color - Black Glaze</t>
  </si>
  <si>
    <t>Model Color - Ochre Brown</t>
  </si>
  <si>
    <t>Model Color - Golden Olive</t>
  </si>
  <si>
    <t>Model Color - Ice Yellow</t>
  </si>
  <si>
    <t>Model Color - Black Red (Cadmium Brown)</t>
  </si>
  <si>
    <t>Model Color - Medium Fleshtone</t>
  </si>
  <si>
    <t>Model Color - Gloss Black</t>
  </si>
  <si>
    <t>Model Color - Black Grey</t>
  </si>
  <si>
    <t>Model Color - Metallic Gunmetal Grey</t>
  </si>
  <si>
    <t>Model Color - Metallic Natural Steel</t>
  </si>
  <si>
    <t>Model Color - Metallic Oily Steel</t>
  </si>
  <si>
    <t>Model Color - Grey Green</t>
  </si>
  <si>
    <t>Model Color - Dark Blue Grey</t>
  </si>
  <si>
    <t>Model Color - Dark Seagreen</t>
  </si>
  <si>
    <t>Model Color - Basalt Grey</t>
  </si>
  <si>
    <t>Model Color - Medium Sea Grey</t>
  </si>
  <si>
    <t>Model Color - Leather Brown</t>
  </si>
  <si>
    <t>Model Color - Chocolate Brown</t>
  </si>
  <si>
    <t>Model Color - US Field Drab</t>
  </si>
  <si>
    <t>Model Color - US Tan Earth</t>
  </si>
  <si>
    <t>Model Color - Beige Brown</t>
  </si>
  <si>
    <t>Model Color - Brown Sand</t>
  </si>
  <si>
    <t>Model Color - Goldbrown</t>
  </si>
  <si>
    <t>Model Color - Metallic Old Gold</t>
  </si>
  <si>
    <t>Model Color - Green Brown</t>
  </si>
  <si>
    <t>Model Color - Khaki Grey</t>
  </si>
  <si>
    <t>Model Color - Yellow Green</t>
  </si>
  <si>
    <t>Model Color - Middlestone</t>
  </si>
  <si>
    <t>Model Color - Silver Grey</t>
  </si>
  <si>
    <t>Model Color - Stone Grey</t>
  </si>
  <si>
    <t>Model Color - Pastel Green</t>
  </si>
  <si>
    <t>Model Color - Green Grey</t>
  </si>
  <si>
    <t>Model Color - Brown Violet</t>
  </si>
  <si>
    <t>Model Color - Olive Grey</t>
  </si>
  <si>
    <t>Model Color - US Olive Drab</t>
  </si>
  <si>
    <t>Model Color - Reflective Green</t>
  </si>
  <si>
    <t>Model Color - Intermediate Green</t>
  </si>
  <si>
    <t>Model Color - Yellow Olive</t>
  </si>
  <si>
    <t>Model Color - US Dark Green</t>
  </si>
  <si>
    <t>Model Color - Russian Green</t>
  </si>
  <si>
    <t>Model Color - Gunship Green</t>
  </si>
  <si>
    <t>Model Color - German Cam Extra Dark Green</t>
  </si>
  <si>
    <t>Model Color - Bronze Green</t>
  </si>
  <si>
    <t>Model Color - Dark Sea Blue</t>
  </si>
  <si>
    <t>Model Color - Dark Prussian Blue</t>
  </si>
  <si>
    <t>Model Color - French Mirage Blue</t>
  </si>
  <si>
    <t>Model Color - Pastel Blue</t>
  </si>
  <si>
    <t>Model Color - Azure</t>
  </si>
  <si>
    <t>Model Color - Intermediate Blue</t>
  </si>
  <si>
    <t>Model Color - Blue Grey Pale</t>
  </si>
  <si>
    <t>Model Color - Pale Blue</t>
  </si>
  <si>
    <t>Model Color - Pale Greyblue</t>
  </si>
  <si>
    <t>Model Color - Carmine Red</t>
  </si>
  <si>
    <t>Model Color - Vermillion</t>
  </si>
  <si>
    <t>Model Color - Orange Red</t>
  </si>
  <si>
    <t>Model Color - Light Orange</t>
  </si>
  <si>
    <t>Model Color - Tan Yellow</t>
  </si>
  <si>
    <t>Model Color - Yellow Ochre</t>
  </si>
  <si>
    <t>Model Color - Green Ochre</t>
  </si>
  <si>
    <t>Model Color - Deep Yellow</t>
  </si>
  <si>
    <t>Model Color - Sand Yellow</t>
  </si>
  <si>
    <t>Model Color - Beige</t>
  </si>
  <si>
    <t>Model Color - Ivory</t>
  </si>
  <si>
    <t>Model Color - Foundation White</t>
  </si>
  <si>
    <t>Model Color - German Uniform</t>
  </si>
  <si>
    <t>Model Color - English Uniform</t>
  </si>
  <si>
    <t>Model Color - US Uniform</t>
  </si>
  <si>
    <t>Model Color - Japanese Uniform WWII</t>
  </si>
  <si>
    <t>Model Color - Russian Uniform WWII</t>
  </si>
  <si>
    <t>Model Color - Blue</t>
  </si>
  <si>
    <t>Model Color - Red</t>
  </si>
  <si>
    <t>Model Color - Dark Flesh</t>
  </si>
  <si>
    <t>Model Color - Light Flesh</t>
  </si>
  <si>
    <t>Model Color - Light Brown</t>
  </si>
  <si>
    <t>Model Color - Dark Blue</t>
  </si>
  <si>
    <t>Model Color - Transparent Red</t>
  </si>
  <si>
    <t>Model Color - Transparent Orange</t>
  </si>
  <si>
    <t>Model Color - Transparent Green</t>
  </si>
  <si>
    <t>Model Color - Transparent Yellow</t>
  </si>
  <si>
    <t>Model Color - Transparent Blue</t>
  </si>
  <si>
    <t>Model Color - Smoke</t>
  </si>
  <si>
    <t>Model Color - Saddle Brown</t>
  </si>
  <si>
    <t>Model Color - Burnt Umber</t>
  </si>
  <si>
    <t>Model Color - Light Green</t>
  </si>
  <si>
    <t>Model Color - Grey Blue</t>
  </si>
  <si>
    <t>Model Color - Old Rose</t>
  </si>
  <si>
    <t>Model Color - Magenta</t>
  </si>
  <si>
    <t>Model Color - Dark Red</t>
  </si>
  <si>
    <t>Model Color - Golden Yellow</t>
  </si>
  <si>
    <t>Model Color - Light Yellow</t>
  </si>
  <si>
    <t>Model Color - Matt Black</t>
  </si>
  <si>
    <t>Model Color - White</t>
  </si>
  <si>
    <t>Model Color - Lemon Yellow</t>
  </si>
  <si>
    <t>Model Color - Flat Yellow</t>
  </si>
  <si>
    <t>Model Color - Flat Flesh</t>
  </si>
  <si>
    <t>Model Color - Clear Orange</t>
  </si>
  <si>
    <t>Model Color - Flat Red</t>
  </si>
  <si>
    <t>Model Color - Pink</t>
  </si>
  <si>
    <t>Model Color - Purple</t>
  </si>
  <si>
    <t>Model Color - Violet</t>
  </si>
  <si>
    <t>Model Color - Sky Blue</t>
  </si>
  <si>
    <t>Model Color - Flat Blue</t>
  </si>
  <si>
    <t>Model Color - Medium Blue</t>
  </si>
  <si>
    <t>Model Color - Field Blue</t>
  </si>
  <si>
    <t>Model Color - Prussian Blue</t>
  </si>
  <si>
    <t>Model Color - Turquoise</t>
  </si>
  <si>
    <t>Model Color - Olive Green</t>
  </si>
  <si>
    <t>Model Color - Flat Green</t>
  </si>
  <si>
    <t>Model Color - Park Green Flat</t>
  </si>
  <si>
    <t>Model Color - Deep Green</t>
  </si>
  <si>
    <t>Model Color - Grey Grey</t>
  </si>
  <si>
    <t>Model Color - Light Green Blue</t>
  </si>
  <si>
    <t>Model Color - Light Sea Grey</t>
  </si>
  <si>
    <t>Model Color - Green Sky</t>
  </si>
  <si>
    <t>Model Color - Military Green</t>
  </si>
  <si>
    <t>Model Color - Buff</t>
  </si>
  <si>
    <t>Model Color - Desert Yellow</t>
  </si>
  <si>
    <t>Model Color - Dark Yellow</t>
  </si>
  <si>
    <t>Model Color - German Cam Dark Green</t>
  </si>
  <si>
    <t>Model Color - Black Green</t>
  </si>
  <si>
    <t>Model Color - Orange Brown</t>
  </si>
  <si>
    <t>Model Color - Calvalry Brown</t>
  </si>
  <si>
    <t>Model Color - Flat Earth</t>
  </si>
  <si>
    <t>Model Color - Flat Brown</t>
  </si>
  <si>
    <t>Model Color - Hull Red</t>
  </si>
  <si>
    <t>Model Color - Deck Tan</t>
  </si>
  <si>
    <t>Model Color - Medium Grey</t>
  </si>
  <si>
    <t>Model Color - Khaki</t>
  </si>
  <si>
    <t>Model Color - Sky Grey</t>
  </si>
  <si>
    <t>Model Color - Light Grey</t>
  </si>
  <si>
    <t>Model Color - Dark Sea Grey</t>
  </si>
  <si>
    <t>Model Color - Neutral Grey</t>
  </si>
  <si>
    <t>Model Color - White Grey</t>
  </si>
  <si>
    <t>Model Color - Dark Grey</t>
  </si>
  <si>
    <t>Model Color - German Grey</t>
  </si>
  <si>
    <t>Model Color - Metallic Gold</t>
  </si>
  <si>
    <t>Model Color - Metallic Silver</t>
  </si>
  <si>
    <t>Model Color - Metallic Bronze</t>
  </si>
  <si>
    <t>Model Color - Metallic Copper</t>
  </si>
  <si>
    <t>Reeks:</t>
  </si>
  <si>
    <t>In voorraad:</t>
  </si>
  <si>
    <t>Aantal:</t>
  </si>
  <si>
    <t>Bestellen:</t>
  </si>
  <si>
    <t>Model Air</t>
  </si>
  <si>
    <t>Model Color</t>
  </si>
  <si>
    <t>In voorraad</t>
  </si>
  <si>
    <t>Nee</t>
  </si>
  <si>
    <t>Ja</t>
  </si>
  <si>
    <t>Verf zoeken</t>
  </si>
  <si>
    <t>Volledig nummer:</t>
  </si>
  <si>
    <t>Metal Color - Alumnium</t>
  </si>
  <si>
    <t>Metal Color</t>
  </si>
  <si>
    <t>Metal Color - Dark Alumnium</t>
  </si>
  <si>
    <t>Metal Color - Steel</t>
  </si>
  <si>
    <t>Metal Color - Exhaust Manifold</t>
  </si>
  <si>
    <t>zoeken op kleurnaam</t>
  </si>
  <si>
    <t>kleurnaam:</t>
  </si>
  <si>
    <t>Kleurnaam</t>
  </si>
  <si>
    <t>Reeks</t>
  </si>
  <si>
    <t>Volledig nummer</t>
  </si>
  <si>
    <t>Aantal</t>
  </si>
  <si>
    <t>Bestellen</t>
  </si>
  <si>
    <t>Artikelnummer</t>
  </si>
  <si>
    <t>Model Air - Concrete</t>
  </si>
  <si>
    <t>131</t>
  </si>
  <si>
    <t>Model Air - NATO Black</t>
  </si>
  <si>
    <t>251</t>
  </si>
  <si>
    <t>Model Air - Light Gull Gray</t>
  </si>
  <si>
    <t>121</t>
  </si>
  <si>
    <t>Model Air - Dark Gull Gray</t>
  </si>
  <si>
    <t>277</t>
  </si>
  <si>
    <t>Model Air - USAF Light blue</t>
  </si>
  <si>
    <t>111</t>
  </si>
  <si>
    <t>Model Air - Faded P.R.U. Blue</t>
  </si>
  <si>
    <t>109</t>
  </si>
  <si>
    <t>Model Air - Dark Ghost Gray</t>
  </si>
  <si>
    <t>120</t>
  </si>
  <si>
    <t>Model Air - US Earth Brown</t>
  </si>
  <si>
    <t>290</t>
  </si>
  <si>
    <t>Model Air - BS Medium Sea Grey</t>
  </si>
  <si>
    <t>307</t>
  </si>
  <si>
    <t>Model Air - US Field Drab</t>
  </si>
  <si>
    <t>139</t>
  </si>
  <si>
    <t>Model Air - US Earth Yellow</t>
  </si>
  <si>
    <t>291</t>
  </si>
  <si>
    <t>Model Air - US Forest Green</t>
  </si>
  <si>
    <t>294</t>
  </si>
  <si>
    <t>289</t>
  </si>
  <si>
    <t>Model Air - US Light Green</t>
  </si>
  <si>
    <t>137</t>
  </si>
  <si>
    <t>Bestellijst Valleyo verf:</t>
  </si>
  <si>
    <t>in voorraad:</t>
  </si>
  <si>
    <t>Aantal bestellen:</t>
  </si>
  <si>
    <t>Meerdere kleuren controleren</t>
  </si>
  <si>
    <t>Ingegeven nummer:</t>
  </si>
  <si>
    <t>Naar bestellijst:</t>
  </si>
  <si>
    <t>Model Air - Tire Black</t>
  </si>
  <si>
    <t>315</t>
  </si>
  <si>
    <t>Model Air - Black Grey RLM66</t>
  </si>
  <si>
    <t>Primers -  White 200ml</t>
  </si>
  <si>
    <t>Primers -  Grey 200ml</t>
  </si>
  <si>
    <t>Primers - Black 60ml</t>
  </si>
  <si>
    <t>Primers - Grey 60ml</t>
  </si>
  <si>
    <t>Primer 200ml</t>
  </si>
  <si>
    <t>Primer 60ml</t>
  </si>
  <si>
    <t>Primers -  Black 200ml</t>
  </si>
  <si>
    <t>Primers -  White 60ml</t>
  </si>
  <si>
    <t>Primers - White 17ml</t>
  </si>
  <si>
    <t>Primer 17ml</t>
  </si>
  <si>
    <t>Primers - Grey 17ml</t>
  </si>
  <si>
    <t>Primers - Black 17ml</t>
  </si>
  <si>
    <t>Glos+B718:H727 Clear</t>
  </si>
  <si>
    <t xml:space="preserve">Flat Clear  </t>
  </si>
  <si>
    <t>Gloss White</t>
  </si>
  <si>
    <t>Flat White</t>
  </si>
  <si>
    <t>Flat Tar Black</t>
  </si>
  <si>
    <t>Gloss Black</t>
  </si>
  <si>
    <t>Flat Black</t>
  </si>
  <si>
    <t>Flat Antharacite</t>
  </si>
  <si>
    <t>Gloss Yellow</t>
  </si>
  <si>
    <t>Flat Yellow</t>
  </si>
  <si>
    <t>Flat Sandy Yellow</t>
  </si>
  <si>
    <t>Flat Africa Brown</t>
  </si>
  <si>
    <t>Flat Luminous Orange</t>
  </si>
  <si>
    <t>Gloss Orange</t>
  </si>
  <si>
    <t>Gloss Fire Red</t>
  </si>
  <si>
    <t>Gloss Ferrari Red</t>
  </si>
  <si>
    <t>Flat flesh</t>
  </si>
  <si>
    <t>Flat Carmine Red</t>
  </si>
  <si>
    <t>Flat Reddisch Brown</t>
  </si>
  <si>
    <t>Flat Dark Green</t>
  </si>
  <si>
    <t>Flat Black- Green</t>
  </si>
  <si>
    <t>Flat Yellowish Olive</t>
  </si>
  <si>
    <t>Flat medium Grey USAF</t>
  </si>
  <si>
    <t>Flat light olive</t>
  </si>
  <si>
    <t>Flat NATO Olive</t>
  </si>
  <si>
    <t>Flat Mouse Grey</t>
  </si>
  <si>
    <t>Flat Sea Green</t>
  </si>
  <si>
    <t>Flat Light blue</t>
  </si>
  <si>
    <t>Gloss Sky blue</t>
  </si>
  <si>
    <t>Gloss Ultramarine Blue</t>
  </si>
  <si>
    <t>Gloss Blue</t>
  </si>
  <si>
    <t>Gloss Night Blue</t>
  </si>
  <si>
    <t>Flat Light Green</t>
  </si>
  <si>
    <t>Flat Blue</t>
  </si>
  <si>
    <t>Flat Grey</t>
  </si>
  <si>
    <t>Flat sky Blue</t>
  </si>
  <si>
    <t>Gloss Emerald Green</t>
  </si>
  <si>
    <t>Gloss Sea Green</t>
  </si>
  <si>
    <t>Flat Bronze Green</t>
  </si>
  <si>
    <t>Flat Olive Grey</t>
  </si>
  <si>
    <t>Flat Greenish Grey</t>
  </si>
  <si>
    <t>Flat Dark Green RAF</t>
  </si>
  <si>
    <t>Flat Granite Grey</t>
  </si>
  <si>
    <t>Flat Gunship Grey</t>
  </si>
  <si>
    <t>Flat Stone Grey</t>
  </si>
  <si>
    <t>Flat Light Grey USAF</t>
  </si>
  <si>
    <t>Flat Dust Grey</t>
  </si>
  <si>
    <t>Flat Tank Grey</t>
  </si>
  <si>
    <t>Flat Greyish Blue</t>
  </si>
  <si>
    <t>Gloss Mud Brown</t>
  </si>
  <si>
    <t>Flat Dark Earth</t>
  </si>
  <si>
    <t>Flat Rust</t>
  </si>
  <si>
    <t>Flat Lether Brown</t>
  </si>
  <si>
    <t>Flat Brown</t>
  </si>
  <si>
    <t>Flat Khaki Brown</t>
  </si>
  <si>
    <t>Flat Earth Brown</t>
  </si>
  <si>
    <t>Flat Ochre</t>
  </si>
  <si>
    <t>Flat Beige</t>
  </si>
  <si>
    <t>Metallic Silver</t>
  </si>
  <si>
    <t>Metallic Iron Grey</t>
  </si>
  <si>
    <t>Metallic Messing</t>
  </si>
  <si>
    <t>Metallic Copper</t>
  </si>
  <si>
    <t>Metallic Gold</t>
  </si>
  <si>
    <t>Metallic Bronze</t>
  </si>
  <si>
    <t>Metallic Aluminium</t>
  </si>
  <si>
    <t>Semi Gloss White</t>
  </si>
  <si>
    <t>Semi Gloss Black</t>
  </si>
  <si>
    <t>Semi Gloss Lufthansa Yellow</t>
  </si>
  <si>
    <t>Semi Gloss Luminous Yellow</t>
  </si>
  <si>
    <t>Semi Gloss Beige</t>
  </si>
  <si>
    <t>Semi Gloss Fiery Red</t>
  </si>
  <si>
    <t>Semi Gloss Purple Red</t>
  </si>
  <si>
    <t>Semi Gloss Luminous Red</t>
  </si>
  <si>
    <t>Semi Gloss Lufthansa Blue</t>
  </si>
  <si>
    <t>Semi Gloss Fern Green</t>
  </si>
  <si>
    <t>Semi Gloss Olive Green</t>
  </si>
  <si>
    <t>Semi Gloss Greyish Green</t>
  </si>
  <si>
    <t>Semi Gloss Dark Green</t>
  </si>
  <si>
    <t>Semi Gloss Leaf Green</t>
  </si>
  <si>
    <t>Semi Gloss Patina Green</t>
  </si>
  <si>
    <t>Semi Gloss Light Grey</t>
  </si>
  <si>
    <t>Semi Gloss Grey</t>
  </si>
  <si>
    <t>Semi Gloss Dark Grey</t>
  </si>
  <si>
    <t>Semi Gloss Brown</t>
  </si>
  <si>
    <t>Semi Gloss Wood Brown</t>
  </si>
  <si>
    <t>Clear Orange</t>
  </si>
  <si>
    <t>Clear Red</t>
  </si>
  <si>
    <t>Clear Blue</t>
  </si>
  <si>
    <t>Enamel Revell</t>
  </si>
  <si>
    <t>Gewenst aantal</t>
  </si>
  <si>
    <t>Totaal kleuren:</t>
  </si>
  <si>
    <t>Totaal potjes: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</si>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</sst>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\-0;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sz val="18"/>
      <color theme="7"/>
      <name val="Calibri"/>
      <family val="2"/>
      <scheme val="minor"/>
    </font>
    <font>
      <b/>
      <i/>
      <sz val="16"/>
      <color theme="5" tint="0.5999938962981048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2" fontId="0" fillId="2" borderId="0" xfId="0" quotePrefix="1" applyNumberFormat="1" applyFill="1" applyAlignment="1">
      <alignment horizontal="center"/>
    </xf>
    <xf numFmtId="0" fontId="0" fillId="3" borderId="0" xfId="0" applyFill="1"/>
    <xf numFmtId="0" fontId="0" fillId="3" borderId="0" xfId="0" quotePrefix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6" borderId="0" xfId="0" applyFont="1" applyFill="1"/>
    <xf numFmtId="49" fontId="0" fillId="7" borderId="0" xfId="1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9" borderId="0" xfId="0" applyFont="1" applyFill="1"/>
    <xf numFmtId="0" fontId="0" fillId="7" borderId="0" xfId="0" applyFill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164" fontId="0" fillId="0" borderId="1" xfId="0" applyNumberFormat="1" applyBorder="1"/>
    <xf numFmtId="164" fontId="0" fillId="0" borderId="2" xfId="0" applyNumberFormat="1" applyBorder="1"/>
    <xf numFmtId="164" fontId="0" fillId="0" borderId="0" xfId="0" applyNumberFormat="1"/>
    <xf numFmtId="0" fontId="7" fillId="10" borderId="0" xfId="0" applyFont="1" applyFill="1"/>
    <xf numFmtId="49" fontId="0" fillId="0" borderId="0" xfId="0" applyNumberFormat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0" borderId="4" xfId="0" applyNumberFormat="1" applyBorder="1"/>
    <xf numFmtId="164" fontId="0" fillId="0" borderId="3" xfId="0" applyNumberFormat="1" applyBorder="1"/>
    <xf numFmtId="49" fontId="0" fillId="0" borderId="3" xfId="0" applyNumberFormat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</cellXfs>
  <cellStyles count="2">
    <cellStyle name="Komma" xfId="1" builtinId="3"/>
    <cellStyle name="Standaard" xfId="0" builtinId="0"/>
  </cellStyles>
  <dxfs count="7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54CB-74A3-463B-A32C-3088AC5F81DA}">
  <dimension ref="B7:J433"/>
  <sheetViews>
    <sheetView zoomScaleNormal="100" workbookViewId="0">
      <pane ySplit="7" topLeftCell="A56" activePane="bottomLeft" state="frozen"/>
      <selection pane="bottomLeft" activeCell="H87" sqref="H87"/>
    </sheetView>
  </sheetViews>
  <sheetFormatPr defaultRowHeight="15" x14ac:dyDescent="0.25"/>
  <cols>
    <col min="2" max="2" width="40.85546875" bestFit="1" customWidth="1"/>
    <col min="3" max="3" width="26.140625" bestFit="1" customWidth="1"/>
    <col min="4" max="4" width="13.7109375" bestFit="1" customWidth="1"/>
    <col min="5" max="5" width="31.5703125" style="7" bestFit="1" customWidth="1"/>
    <col min="6" max="6" width="21" bestFit="1" customWidth="1"/>
    <col min="7" max="7" width="13.7109375" style="7" bestFit="1" customWidth="1"/>
    <col min="8" max="8" width="17.5703125" style="7" bestFit="1" customWidth="1"/>
    <col min="9" max="9" width="30.140625" style="7" bestFit="1" customWidth="1"/>
    <col min="10" max="10" width="28.28515625" style="7" bestFit="1" customWidth="1"/>
  </cols>
  <sheetData>
    <row r="7" spans="2:10" ht="23.25" x14ac:dyDescent="0.35">
      <c r="B7" s="6" t="s">
        <v>96</v>
      </c>
      <c r="C7" s="6" t="s">
        <v>194</v>
      </c>
      <c r="D7" s="6" t="s">
        <v>404</v>
      </c>
      <c r="E7" s="11" t="s">
        <v>414</v>
      </c>
      <c r="F7" s="6" t="s">
        <v>405</v>
      </c>
      <c r="G7" s="11" t="s">
        <v>406</v>
      </c>
      <c r="H7" s="11" t="s">
        <v>407</v>
      </c>
      <c r="I7" s="11" t="s">
        <v>457</v>
      </c>
      <c r="J7" s="11" t="s">
        <v>565</v>
      </c>
    </row>
    <row r="8" spans="2:10" ht="15" customHeight="1" x14ac:dyDescent="0.25">
      <c r="B8" s="1" t="s">
        <v>0</v>
      </c>
      <c r="C8" s="2" t="s">
        <v>97</v>
      </c>
      <c r="D8" t="s">
        <v>408</v>
      </c>
      <c r="E8" s="8" t="str">
        <f>IF(D8="Model Air","71."&amp;C8,IF(D8="Model Color","70."&amp;C8,IF(D8="Metal Color","77."&amp;C8,IF(D8="Primer 200ml","74."&amp;C8,IF(D8="Primer 60ml","73."&amp;C8,IF(D8="Primer 17ml","70."&amp;C8,IF(D8="Enamel Revell","REV-"&amp;VALUE(C8),"")))))))</f>
        <v>71.001</v>
      </c>
      <c r="F8" t="str">
        <f t="shared" ref="F8:F71" si="0">IF(G8="","",IF(G8&gt;0,"Ja","Nee"))</f>
        <v>Ja</v>
      </c>
      <c r="G8" s="7">
        <v>4</v>
      </c>
      <c r="H8" s="7" t="s">
        <v>411</v>
      </c>
      <c r="I8" s="7" t="str">
        <f>IF(H8="Ja",IF(J8="",1,J8),"")</f>
        <v/>
      </c>
    </row>
    <row r="9" spans="2:10" ht="15" customHeight="1" x14ac:dyDescent="0.25">
      <c r="B9" s="1" t="s">
        <v>1</v>
      </c>
      <c r="C9" s="2" t="s">
        <v>98</v>
      </c>
      <c r="D9" t="s">
        <v>408</v>
      </c>
      <c r="E9" s="8" t="str">
        <f t="shared" ref="E9:E72" si="1">IF(D9="Model Air","71."&amp;C9,IF(D9="Model Color","70."&amp;C9,IF(D9="Metal Color","77."&amp;C9,IF(D9="Primer 200ml","74."&amp;C9,IF(D9="Primer 60ml","73."&amp;C9,IF(D9="Primer 17ml","70."&amp;C9,IF(D9="Enamel Revell","REV-"&amp;VALUE(C9),"")))))))</f>
        <v>71.002</v>
      </c>
      <c r="F9" t="str">
        <f t="shared" si="0"/>
        <v>Ja</v>
      </c>
      <c r="G9" s="7">
        <v>1</v>
      </c>
      <c r="H9" s="7" t="s">
        <v>411</v>
      </c>
      <c r="I9" s="7" t="str">
        <f t="shared" ref="I9:I72" si="2">IF(H9="Ja",IF(J9="",1,J9),"")</f>
        <v/>
      </c>
    </row>
    <row r="10" spans="2:10" ht="15" customHeight="1" x14ac:dyDescent="0.25">
      <c r="B10" s="1" t="s">
        <v>2</v>
      </c>
      <c r="C10" s="2" t="s">
        <v>99</v>
      </c>
      <c r="D10" t="s">
        <v>408</v>
      </c>
      <c r="E10" s="8" t="str">
        <f t="shared" si="1"/>
        <v>71.003</v>
      </c>
      <c r="F10" t="str">
        <f t="shared" si="0"/>
        <v>Ja</v>
      </c>
      <c r="G10" s="7">
        <v>2</v>
      </c>
      <c r="H10" s="7" t="s">
        <v>411</v>
      </c>
      <c r="I10" s="7" t="str">
        <f t="shared" si="2"/>
        <v/>
      </c>
    </row>
    <row r="11" spans="2:10" ht="15" customHeight="1" x14ac:dyDescent="0.25">
      <c r="B11" s="1" t="s">
        <v>3</v>
      </c>
      <c r="C11" s="2" t="s">
        <v>100</v>
      </c>
      <c r="D11" t="s">
        <v>408</v>
      </c>
      <c r="E11" s="8" t="str">
        <f t="shared" si="1"/>
        <v>71.004</v>
      </c>
      <c r="F11" t="str">
        <f t="shared" si="0"/>
        <v>Ja</v>
      </c>
      <c r="G11" s="7">
        <v>3</v>
      </c>
      <c r="H11" s="7" t="s">
        <v>411</v>
      </c>
      <c r="I11" s="7" t="str">
        <f t="shared" si="2"/>
        <v/>
      </c>
    </row>
    <row r="12" spans="2:10" ht="15" customHeight="1" x14ac:dyDescent="0.25">
      <c r="B12" s="1" t="s">
        <v>4</v>
      </c>
      <c r="C12" s="2" t="s">
        <v>101</v>
      </c>
      <c r="D12" t="s">
        <v>408</v>
      </c>
      <c r="E12" s="8" t="str">
        <f t="shared" si="1"/>
        <v>71.005</v>
      </c>
      <c r="F12" t="str">
        <f t="shared" si="0"/>
        <v>Nee</v>
      </c>
      <c r="G12" s="7">
        <v>0</v>
      </c>
      <c r="H12" s="7" t="s">
        <v>411</v>
      </c>
      <c r="I12" s="7" t="str">
        <f t="shared" si="2"/>
        <v/>
      </c>
    </row>
    <row r="13" spans="2:10" ht="15" customHeight="1" x14ac:dyDescent="0.25">
      <c r="B13" s="1" t="s">
        <v>5</v>
      </c>
      <c r="C13" s="2" t="s">
        <v>102</v>
      </c>
      <c r="D13" t="s">
        <v>408</v>
      </c>
      <c r="E13" s="8" t="str">
        <f t="shared" si="1"/>
        <v>71.006</v>
      </c>
      <c r="F13" t="str">
        <f t="shared" si="0"/>
        <v>Ja</v>
      </c>
      <c r="G13" s="7">
        <v>1</v>
      </c>
      <c r="H13" s="7" t="s">
        <v>411</v>
      </c>
      <c r="I13" s="7" t="str">
        <f t="shared" si="2"/>
        <v/>
      </c>
    </row>
    <row r="14" spans="2:10" ht="15" customHeight="1" x14ac:dyDescent="0.25">
      <c r="B14" s="1" t="s">
        <v>6</v>
      </c>
      <c r="C14" s="2" t="s">
        <v>103</v>
      </c>
      <c r="D14" t="s">
        <v>408</v>
      </c>
      <c r="E14" s="8" t="str">
        <f t="shared" si="1"/>
        <v>71.007</v>
      </c>
      <c r="F14" t="str">
        <f t="shared" si="0"/>
        <v>Ja</v>
      </c>
      <c r="G14" s="7">
        <v>3</v>
      </c>
      <c r="H14" s="7" t="s">
        <v>411</v>
      </c>
      <c r="I14" s="7" t="str">
        <f t="shared" si="2"/>
        <v/>
      </c>
    </row>
    <row r="15" spans="2:10" ht="15" customHeight="1" x14ac:dyDescent="0.25">
      <c r="B15" s="1" t="s">
        <v>7</v>
      </c>
      <c r="C15" s="2" t="s">
        <v>104</v>
      </c>
      <c r="D15" t="s">
        <v>408</v>
      </c>
      <c r="E15" s="8" t="str">
        <f t="shared" si="1"/>
        <v>71.008</v>
      </c>
      <c r="F15" t="str">
        <f t="shared" si="0"/>
        <v>Nee</v>
      </c>
      <c r="G15" s="7">
        <v>0</v>
      </c>
      <c r="H15" s="7" t="s">
        <v>411</v>
      </c>
      <c r="I15" s="7" t="str">
        <f t="shared" si="2"/>
        <v/>
      </c>
    </row>
    <row r="16" spans="2:10" ht="15" customHeight="1" x14ac:dyDescent="0.25">
      <c r="B16" s="1" t="s">
        <v>8</v>
      </c>
      <c r="C16" s="2" t="s">
        <v>105</v>
      </c>
      <c r="D16" t="s">
        <v>408</v>
      </c>
      <c r="E16" s="8" t="str">
        <f t="shared" si="1"/>
        <v>71.009</v>
      </c>
      <c r="F16" t="str">
        <f t="shared" si="0"/>
        <v>Nee</v>
      </c>
      <c r="G16" s="7">
        <v>0</v>
      </c>
      <c r="H16" s="7" t="s">
        <v>411</v>
      </c>
      <c r="I16" s="7" t="str">
        <f t="shared" si="2"/>
        <v/>
      </c>
    </row>
    <row r="17" spans="2:9" ht="15" customHeight="1" x14ac:dyDescent="0.25">
      <c r="B17" s="1" t="s">
        <v>9</v>
      </c>
      <c r="C17" s="2" t="s">
        <v>106</v>
      </c>
      <c r="D17" t="s">
        <v>408</v>
      </c>
      <c r="E17" s="8" t="str">
        <f t="shared" si="1"/>
        <v>71.010</v>
      </c>
      <c r="F17" t="str">
        <f t="shared" si="0"/>
        <v>Nee</v>
      </c>
      <c r="G17" s="7">
        <v>0</v>
      </c>
      <c r="H17" s="7" t="s">
        <v>411</v>
      </c>
      <c r="I17" s="7" t="str">
        <f t="shared" si="2"/>
        <v/>
      </c>
    </row>
    <row r="18" spans="2:9" ht="15" customHeight="1" x14ac:dyDescent="0.25">
      <c r="B18" s="1" t="s">
        <v>10</v>
      </c>
      <c r="C18" s="2" t="s">
        <v>107</v>
      </c>
      <c r="D18" t="s">
        <v>408</v>
      </c>
      <c r="E18" s="8" t="str">
        <f t="shared" si="1"/>
        <v>71.011</v>
      </c>
      <c r="F18" t="str">
        <f t="shared" si="0"/>
        <v>Ja</v>
      </c>
      <c r="G18" s="7">
        <v>1</v>
      </c>
      <c r="H18" s="7" t="s">
        <v>411</v>
      </c>
      <c r="I18" s="7" t="str">
        <f t="shared" si="2"/>
        <v/>
      </c>
    </row>
    <row r="19" spans="2:9" ht="15" customHeight="1" x14ac:dyDescent="0.25">
      <c r="B19" s="1" t="s">
        <v>11</v>
      </c>
      <c r="C19" s="2" t="s">
        <v>108</v>
      </c>
      <c r="D19" t="s">
        <v>408</v>
      </c>
      <c r="E19" s="8" t="str">
        <f t="shared" si="1"/>
        <v>71.012</v>
      </c>
      <c r="F19" t="str">
        <f t="shared" si="0"/>
        <v>Nee</v>
      </c>
      <c r="G19" s="7">
        <v>0</v>
      </c>
      <c r="H19" s="7" t="s">
        <v>411</v>
      </c>
      <c r="I19" s="7" t="str">
        <f t="shared" si="2"/>
        <v/>
      </c>
    </row>
    <row r="20" spans="2:9" ht="15" customHeight="1" x14ac:dyDescent="0.25">
      <c r="B20" s="1" t="s">
        <v>12</v>
      </c>
      <c r="C20" s="2" t="s">
        <v>109</v>
      </c>
      <c r="D20" t="s">
        <v>408</v>
      </c>
      <c r="E20" s="8" t="str">
        <f t="shared" si="1"/>
        <v>71.013</v>
      </c>
      <c r="F20" t="str">
        <f t="shared" si="0"/>
        <v>Ja</v>
      </c>
      <c r="G20" s="7">
        <v>1</v>
      </c>
      <c r="H20" s="7" t="s">
        <v>411</v>
      </c>
      <c r="I20" s="7" t="str">
        <f t="shared" si="2"/>
        <v/>
      </c>
    </row>
    <row r="21" spans="2:9" ht="15" customHeight="1" x14ac:dyDescent="0.25">
      <c r="B21" s="1" t="s">
        <v>13</v>
      </c>
      <c r="C21" s="2" t="s">
        <v>110</v>
      </c>
      <c r="D21" t="s">
        <v>408</v>
      </c>
      <c r="E21" s="8" t="str">
        <f t="shared" si="1"/>
        <v>71.014</v>
      </c>
      <c r="F21" t="str">
        <f t="shared" si="0"/>
        <v>Nee</v>
      </c>
      <c r="G21" s="7">
        <v>0</v>
      </c>
      <c r="H21" s="7" t="s">
        <v>411</v>
      </c>
      <c r="I21" s="7" t="str">
        <f t="shared" si="2"/>
        <v/>
      </c>
    </row>
    <row r="22" spans="2:9" ht="15" customHeight="1" x14ac:dyDescent="0.25">
      <c r="B22" s="1" t="s">
        <v>14</v>
      </c>
      <c r="C22" s="2" t="s">
        <v>111</v>
      </c>
      <c r="D22" t="s">
        <v>408</v>
      </c>
      <c r="E22" s="8" t="str">
        <f t="shared" si="1"/>
        <v>71.015</v>
      </c>
      <c r="F22" t="str">
        <f t="shared" si="0"/>
        <v>Ja</v>
      </c>
      <c r="G22" s="7">
        <v>1</v>
      </c>
      <c r="H22" s="7" t="s">
        <v>411</v>
      </c>
      <c r="I22" s="7" t="str">
        <f t="shared" si="2"/>
        <v/>
      </c>
    </row>
    <row r="23" spans="2:9" ht="15" customHeight="1" x14ac:dyDescent="0.25">
      <c r="B23" s="1" t="s">
        <v>15</v>
      </c>
      <c r="C23" s="2" t="s">
        <v>112</v>
      </c>
      <c r="D23" t="s">
        <v>408</v>
      </c>
      <c r="E23" s="8" t="str">
        <f t="shared" si="1"/>
        <v>71.016</v>
      </c>
      <c r="F23" t="str">
        <f t="shared" si="0"/>
        <v>Ja</v>
      </c>
      <c r="G23" s="7">
        <v>2</v>
      </c>
      <c r="H23" s="7" t="s">
        <v>411</v>
      </c>
      <c r="I23" s="7" t="str">
        <f t="shared" si="2"/>
        <v/>
      </c>
    </row>
    <row r="24" spans="2:9" ht="15" customHeight="1" x14ac:dyDescent="0.25">
      <c r="B24" s="1" t="s">
        <v>16</v>
      </c>
      <c r="C24" s="2" t="s">
        <v>113</v>
      </c>
      <c r="D24" t="s">
        <v>408</v>
      </c>
      <c r="E24" s="8" t="str">
        <f t="shared" si="1"/>
        <v>71.017</v>
      </c>
      <c r="F24" t="str">
        <f t="shared" si="0"/>
        <v>Nee</v>
      </c>
      <c r="G24" s="7">
        <v>0</v>
      </c>
      <c r="H24" s="7" t="s">
        <v>411</v>
      </c>
      <c r="I24" s="7" t="str">
        <f t="shared" si="2"/>
        <v/>
      </c>
    </row>
    <row r="25" spans="2:9" ht="15" customHeight="1" x14ac:dyDescent="0.25">
      <c r="B25" s="1" t="s">
        <v>17</v>
      </c>
      <c r="C25" s="2" t="s">
        <v>114</v>
      </c>
      <c r="D25" t="s">
        <v>408</v>
      </c>
      <c r="E25" s="8" t="str">
        <f t="shared" si="1"/>
        <v>71.018</v>
      </c>
      <c r="F25" t="str">
        <f t="shared" si="0"/>
        <v>Nee</v>
      </c>
      <c r="G25" s="7">
        <v>0</v>
      </c>
      <c r="H25" s="7" t="s">
        <v>411</v>
      </c>
      <c r="I25" s="7" t="str">
        <f t="shared" si="2"/>
        <v/>
      </c>
    </row>
    <row r="26" spans="2:9" ht="15" customHeight="1" x14ac:dyDescent="0.25">
      <c r="B26" s="1" t="s">
        <v>18</v>
      </c>
      <c r="C26" s="2" t="s">
        <v>115</v>
      </c>
      <c r="D26" t="s">
        <v>408</v>
      </c>
      <c r="E26" s="8" t="str">
        <f t="shared" si="1"/>
        <v>71.019</v>
      </c>
      <c r="F26" t="str">
        <f t="shared" si="0"/>
        <v>Nee</v>
      </c>
      <c r="G26" s="7">
        <v>0</v>
      </c>
      <c r="H26" s="7" t="s">
        <v>411</v>
      </c>
      <c r="I26" s="7" t="str">
        <f t="shared" si="2"/>
        <v/>
      </c>
    </row>
    <row r="27" spans="2:9" ht="15" customHeight="1" x14ac:dyDescent="0.25">
      <c r="B27" s="1" t="s">
        <v>19</v>
      </c>
      <c r="C27" s="2" t="s">
        <v>116</v>
      </c>
      <c r="D27" t="s">
        <v>408</v>
      </c>
      <c r="E27" s="8" t="str">
        <f t="shared" si="1"/>
        <v>71.020</v>
      </c>
      <c r="F27" t="str">
        <f t="shared" si="0"/>
        <v>Nee</v>
      </c>
      <c r="G27" s="7">
        <v>0</v>
      </c>
      <c r="H27" s="7" t="s">
        <v>411</v>
      </c>
      <c r="I27" s="7" t="str">
        <f t="shared" si="2"/>
        <v/>
      </c>
    </row>
    <row r="28" spans="2:9" ht="15" customHeight="1" x14ac:dyDescent="0.25">
      <c r="B28" s="1" t="s">
        <v>20</v>
      </c>
      <c r="C28" s="2" t="s">
        <v>117</v>
      </c>
      <c r="D28" t="s">
        <v>408</v>
      </c>
      <c r="E28" s="8" t="str">
        <f t="shared" si="1"/>
        <v>71.021</v>
      </c>
      <c r="F28" t="str">
        <f t="shared" si="0"/>
        <v>Nee</v>
      </c>
      <c r="G28" s="7">
        <v>0</v>
      </c>
      <c r="H28" s="7" t="s">
        <v>411</v>
      </c>
      <c r="I28" s="7" t="str">
        <f t="shared" si="2"/>
        <v/>
      </c>
    </row>
    <row r="29" spans="2:9" ht="15" customHeight="1" x14ac:dyDescent="0.25">
      <c r="B29" s="1" t="s">
        <v>21</v>
      </c>
      <c r="C29" s="2" t="s">
        <v>118</v>
      </c>
      <c r="D29" t="s">
        <v>408</v>
      </c>
      <c r="E29" s="8" t="str">
        <f t="shared" si="1"/>
        <v>71.022</v>
      </c>
      <c r="F29" t="str">
        <f t="shared" si="0"/>
        <v>Ja</v>
      </c>
      <c r="G29" s="7">
        <v>1</v>
      </c>
      <c r="H29" s="7" t="s">
        <v>411</v>
      </c>
      <c r="I29" s="7" t="str">
        <f t="shared" si="2"/>
        <v/>
      </c>
    </row>
    <row r="30" spans="2:9" ht="15" customHeight="1" x14ac:dyDescent="0.25">
      <c r="B30" s="1" t="s">
        <v>22</v>
      </c>
      <c r="C30" s="2" t="s">
        <v>119</v>
      </c>
      <c r="D30" t="s">
        <v>408</v>
      </c>
      <c r="E30" s="8" t="str">
        <f t="shared" si="1"/>
        <v>71.023</v>
      </c>
      <c r="F30" t="str">
        <f t="shared" si="0"/>
        <v>Ja</v>
      </c>
      <c r="G30" s="7">
        <v>3</v>
      </c>
      <c r="H30" s="7" t="s">
        <v>411</v>
      </c>
      <c r="I30" s="7" t="str">
        <f t="shared" si="2"/>
        <v/>
      </c>
    </row>
    <row r="31" spans="2:9" ht="15" customHeight="1" x14ac:dyDescent="0.25">
      <c r="B31" s="1" t="s">
        <v>23</v>
      </c>
      <c r="C31" s="2" t="s">
        <v>120</v>
      </c>
      <c r="D31" t="s">
        <v>408</v>
      </c>
      <c r="E31" s="8" t="str">
        <f t="shared" si="1"/>
        <v>71.024</v>
      </c>
      <c r="F31" t="str">
        <f t="shared" si="0"/>
        <v>Ja</v>
      </c>
      <c r="G31" s="7">
        <v>1</v>
      </c>
      <c r="H31" s="7" t="s">
        <v>411</v>
      </c>
      <c r="I31" s="7" t="str">
        <f t="shared" si="2"/>
        <v/>
      </c>
    </row>
    <row r="32" spans="2:9" ht="15" customHeight="1" x14ac:dyDescent="0.25">
      <c r="B32" s="1" t="s">
        <v>24</v>
      </c>
      <c r="C32" s="2" t="s">
        <v>121</v>
      </c>
      <c r="D32" t="s">
        <v>408</v>
      </c>
      <c r="E32" s="8" t="str">
        <f t="shared" si="1"/>
        <v>71.025</v>
      </c>
      <c r="F32" t="str">
        <f t="shared" si="0"/>
        <v>Ja</v>
      </c>
      <c r="G32" s="7">
        <v>1</v>
      </c>
      <c r="H32" s="7" t="s">
        <v>411</v>
      </c>
      <c r="I32" s="7" t="str">
        <f t="shared" si="2"/>
        <v/>
      </c>
    </row>
    <row r="33" spans="2:9" ht="15" customHeight="1" x14ac:dyDescent="0.25">
      <c r="B33" s="1" t="s">
        <v>25</v>
      </c>
      <c r="C33" s="2" t="s">
        <v>122</v>
      </c>
      <c r="D33" t="s">
        <v>408</v>
      </c>
      <c r="E33" s="8" t="str">
        <f t="shared" si="1"/>
        <v>71.026</v>
      </c>
      <c r="F33" t="str">
        <f t="shared" si="0"/>
        <v>Nee</v>
      </c>
      <c r="G33" s="7">
        <v>0</v>
      </c>
      <c r="H33" s="7" t="s">
        <v>411</v>
      </c>
      <c r="I33" s="7" t="str">
        <f t="shared" si="2"/>
        <v/>
      </c>
    </row>
    <row r="34" spans="2:9" ht="15" customHeight="1" x14ac:dyDescent="0.25">
      <c r="B34" s="1" t="s">
        <v>26</v>
      </c>
      <c r="C34" s="2" t="s">
        <v>123</v>
      </c>
      <c r="D34" t="s">
        <v>408</v>
      </c>
      <c r="E34" s="8" t="str">
        <f t="shared" si="1"/>
        <v>71.027</v>
      </c>
      <c r="F34" t="str">
        <f t="shared" si="0"/>
        <v>Ja</v>
      </c>
      <c r="G34" s="7">
        <v>1</v>
      </c>
      <c r="H34" s="7" t="s">
        <v>411</v>
      </c>
      <c r="I34" s="7" t="str">
        <f t="shared" si="2"/>
        <v/>
      </c>
    </row>
    <row r="35" spans="2:9" ht="15" customHeight="1" x14ac:dyDescent="0.25">
      <c r="B35" s="1" t="s">
        <v>27</v>
      </c>
      <c r="C35" s="2" t="s">
        <v>124</v>
      </c>
      <c r="D35" t="s">
        <v>408</v>
      </c>
      <c r="E35" s="8" t="str">
        <f t="shared" si="1"/>
        <v>71.028</v>
      </c>
      <c r="F35" t="str">
        <f t="shared" si="0"/>
        <v>Ja</v>
      </c>
      <c r="G35" s="7">
        <v>2</v>
      </c>
      <c r="H35" s="7" t="s">
        <v>411</v>
      </c>
      <c r="I35" s="7" t="str">
        <f t="shared" si="2"/>
        <v/>
      </c>
    </row>
    <row r="36" spans="2:9" ht="15" customHeight="1" x14ac:dyDescent="0.25">
      <c r="B36" s="1" t="s">
        <v>28</v>
      </c>
      <c r="C36" s="2" t="s">
        <v>125</v>
      </c>
      <c r="D36" t="s">
        <v>408</v>
      </c>
      <c r="E36" s="8" t="str">
        <f t="shared" si="1"/>
        <v>71.029</v>
      </c>
      <c r="F36" t="str">
        <f t="shared" si="0"/>
        <v>Nee</v>
      </c>
      <c r="G36" s="7">
        <v>0</v>
      </c>
      <c r="H36" s="7" t="s">
        <v>411</v>
      </c>
      <c r="I36" s="7" t="str">
        <f t="shared" si="2"/>
        <v/>
      </c>
    </row>
    <row r="37" spans="2:9" ht="15" customHeight="1" x14ac:dyDescent="0.25">
      <c r="B37" s="1" t="s">
        <v>29</v>
      </c>
      <c r="C37" s="2" t="s">
        <v>126</v>
      </c>
      <c r="D37" t="s">
        <v>408</v>
      </c>
      <c r="E37" s="8" t="str">
        <f t="shared" si="1"/>
        <v>71.030</v>
      </c>
      <c r="F37" t="str">
        <f t="shared" si="0"/>
        <v>Nee</v>
      </c>
      <c r="G37" s="7">
        <v>0</v>
      </c>
      <c r="H37" s="7" t="s">
        <v>411</v>
      </c>
      <c r="I37" s="7" t="str">
        <f t="shared" si="2"/>
        <v/>
      </c>
    </row>
    <row r="38" spans="2:9" ht="15" customHeight="1" x14ac:dyDescent="0.25">
      <c r="B38" s="1" t="s">
        <v>30</v>
      </c>
      <c r="C38" s="2" t="s">
        <v>127</v>
      </c>
      <c r="D38" t="s">
        <v>408</v>
      </c>
      <c r="E38" s="8" t="str">
        <f t="shared" si="1"/>
        <v>71.031</v>
      </c>
      <c r="F38" t="str">
        <f t="shared" si="0"/>
        <v>Nee</v>
      </c>
      <c r="G38" s="7">
        <v>0</v>
      </c>
      <c r="H38" s="7" t="s">
        <v>411</v>
      </c>
      <c r="I38" s="7" t="str">
        <f t="shared" si="2"/>
        <v/>
      </c>
    </row>
    <row r="39" spans="2:9" ht="15" customHeight="1" x14ac:dyDescent="0.25">
      <c r="B39" s="1" t="s">
        <v>31</v>
      </c>
      <c r="C39" s="2" t="s">
        <v>128</v>
      </c>
      <c r="D39" t="s">
        <v>408</v>
      </c>
      <c r="E39" s="8" t="str">
        <f t="shared" si="1"/>
        <v>71.032</v>
      </c>
      <c r="F39" t="str">
        <f t="shared" si="0"/>
        <v>Nee</v>
      </c>
      <c r="G39" s="7">
        <v>0</v>
      </c>
      <c r="H39" s="7" t="s">
        <v>411</v>
      </c>
      <c r="I39" s="7" t="str">
        <f t="shared" si="2"/>
        <v/>
      </c>
    </row>
    <row r="40" spans="2:9" ht="15" customHeight="1" x14ac:dyDescent="0.25">
      <c r="B40" s="1" t="s">
        <v>32</v>
      </c>
      <c r="C40" s="2" t="s">
        <v>129</v>
      </c>
      <c r="D40" t="s">
        <v>408</v>
      </c>
      <c r="E40" s="8" t="str">
        <f t="shared" si="1"/>
        <v>71.033</v>
      </c>
      <c r="F40" t="str">
        <f t="shared" si="0"/>
        <v>Ja</v>
      </c>
      <c r="G40" s="7">
        <v>2</v>
      </c>
      <c r="H40" s="7" t="s">
        <v>411</v>
      </c>
      <c r="I40" s="7" t="str">
        <f t="shared" si="2"/>
        <v/>
      </c>
    </row>
    <row r="41" spans="2:9" ht="15" customHeight="1" x14ac:dyDescent="0.25">
      <c r="B41" s="1" t="s">
        <v>33</v>
      </c>
      <c r="C41" s="2" t="s">
        <v>130</v>
      </c>
      <c r="D41" t="s">
        <v>408</v>
      </c>
      <c r="E41" s="8" t="str">
        <f t="shared" si="1"/>
        <v>71.034</v>
      </c>
      <c r="F41" t="str">
        <f t="shared" si="0"/>
        <v>Nee</v>
      </c>
      <c r="G41" s="7">
        <v>0</v>
      </c>
      <c r="H41" s="7" t="s">
        <v>411</v>
      </c>
      <c r="I41" s="7" t="str">
        <f t="shared" si="2"/>
        <v/>
      </c>
    </row>
    <row r="42" spans="2:9" ht="15" customHeight="1" x14ac:dyDescent="0.25">
      <c r="B42" s="1" t="s">
        <v>34</v>
      </c>
      <c r="C42" s="2" t="s">
        <v>131</v>
      </c>
      <c r="D42" t="s">
        <v>408</v>
      </c>
      <c r="E42" s="8" t="str">
        <f t="shared" si="1"/>
        <v>71.035</v>
      </c>
      <c r="F42" t="str">
        <f t="shared" si="0"/>
        <v>Nee</v>
      </c>
      <c r="G42" s="7">
        <v>0</v>
      </c>
      <c r="H42" s="7" t="s">
        <v>411</v>
      </c>
      <c r="I42" s="7" t="str">
        <f t="shared" si="2"/>
        <v/>
      </c>
    </row>
    <row r="43" spans="2:9" ht="15" customHeight="1" x14ac:dyDescent="0.25">
      <c r="B43" s="1" t="s">
        <v>35</v>
      </c>
      <c r="C43" s="2" t="s">
        <v>132</v>
      </c>
      <c r="D43" t="s">
        <v>408</v>
      </c>
      <c r="E43" s="8" t="str">
        <f t="shared" si="1"/>
        <v>71.036</v>
      </c>
      <c r="F43" t="str">
        <f t="shared" si="0"/>
        <v>Nee</v>
      </c>
      <c r="G43" s="7">
        <v>0</v>
      </c>
      <c r="H43" s="7" t="s">
        <v>411</v>
      </c>
      <c r="I43" s="7" t="str">
        <f t="shared" si="2"/>
        <v/>
      </c>
    </row>
    <row r="44" spans="2:9" ht="15" customHeight="1" x14ac:dyDescent="0.25">
      <c r="B44" s="1" t="s">
        <v>36</v>
      </c>
      <c r="C44" s="2" t="s">
        <v>133</v>
      </c>
      <c r="D44" t="s">
        <v>408</v>
      </c>
      <c r="E44" s="8" t="str">
        <f t="shared" si="1"/>
        <v>71.037</v>
      </c>
      <c r="F44" t="str">
        <f t="shared" si="0"/>
        <v>Ja</v>
      </c>
      <c r="G44" s="7">
        <v>1</v>
      </c>
      <c r="H44" s="7" t="s">
        <v>411</v>
      </c>
      <c r="I44" s="7" t="str">
        <f t="shared" si="2"/>
        <v/>
      </c>
    </row>
    <row r="45" spans="2:9" ht="15" customHeight="1" x14ac:dyDescent="0.25">
      <c r="B45" s="1" t="s">
        <v>37</v>
      </c>
      <c r="C45" s="2" t="s">
        <v>134</v>
      </c>
      <c r="D45" t="s">
        <v>408</v>
      </c>
      <c r="E45" s="8" t="str">
        <f t="shared" si="1"/>
        <v>71.038</v>
      </c>
      <c r="F45" t="str">
        <f t="shared" si="0"/>
        <v>Ja</v>
      </c>
      <c r="G45" s="7">
        <v>1</v>
      </c>
      <c r="H45" s="7" t="s">
        <v>411</v>
      </c>
      <c r="I45" s="7" t="str">
        <f t="shared" si="2"/>
        <v/>
      </c>
    </row>
    <row r="46" spans="2:9" ht="15" customHeight="1" x14ac:dyDescent="0.25">
      <c r="B46" s="1" t="s">
        <v>38</v>
      </c>
      <c r="C46" s="2" t="s">
        <v>135</v>
      </c>
      <c r="D46" t="s">
        <v>408</v>
      </c>
      <c r="E46" s="8" t="str">
        <f t="shared" si="1"/>
        <v>71.039</v>
      </c>
      <c r="F46" t="str">
        <f t="shared" si="0"/>
        <v>Nee</v>
      </c>
      <c r="G46" s="7">
        <v>0</v>
      </c>
      <c r="H46" s="7" t="s">
        <v>411</v>
      </c>
      <c r="I46" s="7" t="str">
        <f t="shared" si="2"/>
        <v/>
      </c>
    </row>
    <row r="47" spans="2:9" ht="15" customHeight="1" x14ac:dyDescent="0.25">
      <c r="B47" s="1" t="s">
        <v>39</v>
      </c>
      <c r="C47" s="2" t="s">
        <v>136</v>
      </c>
      <c r="D47" t="s">
        <v>408</v>
      </c>
      <c r="E47" s="8" t="str">
        <f t="shared" si="1"/>
        <v>71.040</v>
      </c>
      <c r="F47" t="str">
        <f t="shared" si="0"/>
        <v>Nee</v>
      </c>
      <c r="G47" s="7">
        <v>0</v>
      </c>
      <c r="H47" s="7" t="s">
        <v>411</v>
      </c>
      <c r="I47" s="7" t="str">
        <f t="shared" si="2"/>
        <v/>
      </c>
    </row>
    <row r="48" spans="2:9" ht="15" customHeight="1" x14ac:dyDescent="0.25">
      <c r="B48" s="1" t="s">
        <v>40</v>
      </c>
      <c r="C48" s="2" t="s">
        <v>137</v>
      </c>
      <c r="D48" t="s">
        <v>408</v>
      </c>
      <c r="E48" s="8" t="str">
        <f t="shared" si="1"/>
        <v>71.041</v>
      </c>
      <c r="F48" t="str">
        <f t="shared" si="0"/>
        <v>Nee</v>
      </c>
      <c r="G48" s="7">
        <v>0</v>
      </c>
      <c r="H48" s="7" t="s">
        <v>411</v>
      </c>
      <c r="I48" s="7" t="str">
        <f t="shared" si="2"/>
        <v/>
      </c>
    </row>
    <row r="49" spans="2:9" ht="15" customHeight="1" x14ac:dyDescent="0.25">
      <c r="B49" s="1" t="s">
        <v>41</v>
      </c>
      <c r="C49" s="2" t="s">
        <v>138</v>
      </c>
      <c r="D49" t="s">
        <v>408</v>
      </c>
      <c r="E49" s="8" t="str">
        <f t="shared" si="1"/>
        <v>71.042</v>
      </c>
      <c r="F49" t="str">
        <f t="shared" si="0"/>
        <v>Nee</v>
      </c>
      <c r="G49" s="7">
        <v>0</v>
      </c>
      <c r="H49" s="7" t="s">
        <v>411</v>
      </c>
      <c r="I49" s="7" t="str">
        <f t="shared" si="2"/>
        <v/>
      </c>
    </row>
    <row r="50" spans="2:9" ht="15" customHeight="1" x14ac:dyDescent="0.25">
      <c r="B50" s="1" t="s">
        <v>42</v>
      </c>
      <c r="C50" s="2" t="s">
        <v>139</v>
      </c>
      <c r="D50" t="s">
        <v>408</v>
      </c>
      <c r="E50" s="8" t="str">
        <f t="shared" si="1"/>
        <v>71.043</v>
      </c>
      <c r="F50" t="str">
        <f t="shared" si="0"/>
        <v>Ja</v>
      </c>
      <c r="G50" s="7">
        <v>1</v>
      </c>
      <c r="H50" s="7" t="s">
        <v>411</v>
      </c>
      <c r="I50" s="7" t="str">
        <f t="shared" si="2"/>
        <v/>
      </c>
    </row>
    <row r="51" spans="2:9" ht="15" customHeight="1" x14ac:dyDescent="0.25">
      <c r="B51" s="1" t="s">
        <v>43</v>
      </c>
      <c r="C51" s="2" t="s">
        <v>140</v>
      </c>
      <c r="D51" t="s">
        <v>408</v>
      </c>
      <c r="E51" s="8" t="str">
        <f t="shared" si="1"/>
        <v>71.044</v>
      </c>
      <c r="F51" t="str">
        <f t="shared" si="0"/>
        <v>Ja</v>
      </c>
      <c r="G51" s="7">
        <v>2</v>
      </c>
      <c r="H51" s="7" t="s">
        <v>411</v>
      </c>
      <c r="I51" s="7" t="str">
        <f t="shared" si="2"/>
        <v/>
      </c>
    </row>
    <row r="52" spans="2:9" ht="15" customHeight="1" x14ac:dyDescent="0.25">
      <c r="B52" s="1" t="s">
        <v>44</v>
      </c>
      <c r="C52" s="2" t="s">
        <v>141</v>
      </c>
      <c r="D52" t="s">
        <v>408</v>
      </c>
      <c r="E52" s="8" t="str">
        <f t="shared" si="1"/>
        <v>71.045</v>
      </c>
      <c r="F52" t="str">
        <f t="shared" si="0"/>
        <v>Ja</v>
      </c>
      <c r="G52" s="7">
        <v>3</v>
      </c>
      <c r="H52" s="7" t="s">
        <v>411</v>
      </c>
      <c r="I52" s="7" t="str">
        <f t="shared" si="2"/>
        <v/>
      </c>
    </row>
    <row r="53" spans="2:9" ht="15" customHeight="1" x14ac:dyDescent="0.25">
      <c r="B53" s="1" t="s">
        <v>45</v>
      </c>
      <c r="C53" s="2" t="s">
        <v>142</v>
      </c>
      <c r="D53" t="s">
        <v>408</v>
      </c>
      <c r="E53" s="8" t="str">
        <f t="shared" si="1"/>
        <v>71.046</v>
      </c>
      <c r="F53" t="str">
        <f t="shared" si="0"/>
        <v>Nee</v>
      </c>
      <c r="G53" s="7">
        <v>0</v>
      </c>
      <c r="H53" s="7" t="s">
        <v>411</v>
      </c>
      <c r="I53" s="7" t="str">
        <f t="shared" si="2"/>
        <v/>
      </c>
    </row>
    <row r="54" spans="2:9" ht="15" customHeight="1" x14ac:dyDescent="0.25">
      <c r="B54" s="1" t="s">
        <v>46</v>
      </c>
      <c r="C54" s="2" t="s">
        <v>143</v>
      </c>
      <c r="D54" t="s">
        <v>408</v>
      </c>
      <c r="E54" s="8" t="str">
        <f t="shared" si="1"/>
        <v>71.047</v>
      </c>
      <c r="F54" t="str">
        <f t="shared" si="0"/>
        <v>Ja</v>
      </c>
      <c r="G54" s="7">
        <v>1</v>
      </c>
      <c r="H54" s="7" t="s">
        <v>411</v>
      </c>
      <c r="I54" s="7" t="str">
        <f t="shared" si="2"/>
        <v/>
      </c>
    </row>
    <row r="55" spans="2:9" ht="15" customHeight="1" x14ac:dyDescent="0.25">
      <c r="B55" s="1" t="s">
        <v>47</v>
      </c>
      <c r="C55" s="2" t="s">
        <v>144</v>
      </c>
      <c r="D55" t="s">
        <v>408</v>
      </c>
      <c r="E55" s="8" t="str">
        <f t="shared" si="1"/>
        <v>71.048</v>
      </c>
      <c r="F55" t="str">
        <f t="shared" si="0"/>
        <v>Ja</v>
      </c>
      <c r="G55" s="7">
        <v>1</v>
      </c>
      <c r="H55" s="7" t="s">
        <v>411</v>
      </c>
      <c r="I55" s="7" t="str">
        <f t="shared" si="2"/>
        <v/>
      </c>
    </row>
    <row r="56" spans="2:9" ht="15" customHeight="1" x14ac:dyDescent="0.25">
      <c r="B56" s="1" t="s">
        <v>48</v>
      </c>
      <c r="C56" s="2" t="s">
        <v>145</v>
      </c>
      <c r="D56" t="s">
        <v>408</v>
      </c>
      <c r="E56" s="8" t="str">
        <f t="shared" si="1"/>
        <v>71.049</v>
      </c>
      <c r="F56" t="str">
        <f t="shared" si="0"/>
        <v>Ja</v>
      </c>
      <c r="G56" s="7">
        <v>1</v>
      </c>
      <c r="H56" s="7" t="s">
        <v>411</v>
      </c>
      <c r="I56" s="7" t="str">
        <f t="shared" si="2"/>
        <v/>
      </c>
    </row>
    <row r="57" spans="2:9" ht="15" customHeight="1" x14ac:dyDescent="0.25">
      <c r="B57" s="1" t="s">
        <v>49</v>
      </c>
      <c r="C57" s="2" t="s">
        <v>146</v>
      </c>
      <c r="D57" t="s">
        <v>408</v>
      </c>
      <c r="E57" s="8" t="str">
        <f t="shared" si="1"/>
        <v>71.050</v>
      </c>
      <c r="F57" t="str">
        <f t="shared" si="0"/>
        <v>Ja</v>
      </c>
      <c r="G57" s="7">
        <v>1</v>
      </c>
      <c r="H57" s="7" t="s">
        <v>411</v>
      </c>
      <c r="I57" s="7" t="str">
        <f t="shared" si="2"/>
        <v/>
      </c>
    </row>
    <row r="58" spans="2:9" x14ac:dyDescent="0.25">
      <c r="B58" s="1" t="s">
        <v>50</v>
      </c>
      <c r="C58" s="2" t="s">
        <v>147</v>
      </c>
      <c r="D58" t="s">
        <v>408</v>
      </c>
      <c r="E58" s="8" t="str">
        <f t="shared" si="1"/>
        <v>71.051</v>
      </c>
      <c r="F58" t="str">
        <f t="shared" si="0"/>
        <v>Nee</v>
      </c>
      <c r="G58" s="7">
        <v>0</v>
      </c>
      <c r="H58" s="7" t="s">
        <v>411</v>
      </c>
      <c r="I58" s="7" t="str">
        <f t="shared" si="2"/>
        <v/>
      </c>
    </row>
    <row r="59" spans="2:9" x14ac:dyDescent="0.25">
      <c r="B59" s="1" t="s">
        <v>51</v>
      </c>
      <c r="C59" s="2" t="s">
        <v>148</v>
      </c>
      <c r="D59" t="s">
        <v>408</v>
      </c>
      <c r="E59" s="8" t="str">
        <f t="shared" si="1"/>
        <v>71.052</v>
      </c>
      <c r="F59" t="str">
        <f t="shared" si="0"/>
        <v>Ja</v>
      </c>
      <c r="G59" s="7">
        <v>1</v>
      </c>
      <c r="H59" s="7" t="s">
        <v>411</v>
      </c>
      <c r="I59" s="7" t="str">
        <f t="shared" si="2"/>
        <v/>
      </c>
    </row>
    <row r="60" spans="2:9" x14ac:dyDescent="0.25">
      <c r="B60" s="1" t="s">
        <v>52</v>
      </c>
      <c r="C60" s="2" t="s">
        <v>149</v>
      </c>
      <c r="D60" t="s">
        <v>408</v>
      </c>
      <c r="E60" s="8" t="str">
        <f t="shared" si="1"/>
        <v>71.053</v>
      </c>
      <c r="F60" t="str">
        <f t="shared" si="0"/>
        <v>Nee</v>
      </c>
      <c r="G60" s="7">
        <v>0</v>
      </c>
      <c r="H60" s="7" t="s">
        <v>411</v>
      </c>
      <c r="I60" s="7" t="str">
        <f t="shared" si="2"/>
        <v/>
      </c>
    </row>
    <row r="61" spans="2:9" x14ac:dyDescent="0.25">
      <c r="B61" s="1" t="s">
        <v>53</v>
      </c>
      <c r="C61" s="2" t="s">
        <v>150</v>
      </c>
      <c r="D61" t="s">
        <v>408</v>
      </c>
      <c r="E61" s="8" t="str">
        <f t="shared" si="1"/>
        <v>71.054</v>
      </c>
      <c r="F61" t="str">
        <f t="shared" si="0"/>
        <v>Ja</v>
      </c>
      <c r="G61" s="7">
        <v>1</v>
      </c>
      <c r="H61" s="7" t="s">
        <v>411</v>
      </c>
      <c r="I61" s="7" t="str">
        <f t="shared" si="2"/>
        <v/>
      </c>
    </row>
    <row r="62" spans="2:9" ht="15" customHeight="1" x14ac:dyDescent="0.25">
      <c r="B62" s="1" t="s">
        <v>463</v>
      </c>
      <c r="C62" s="2" t="s">
        <v>151</v>
      </c>
      <c r="D62" t="s">
        <v>408</v>
      </c>
      <c r="E62" s="8" t="str">
        <f t="shared" si="1"/>
        <v>71.055</v>
      </c>
      <c r="F62" t="str">
        <f t="shared" si="0"/>
        <v>Ja</v>
      </c>
      <c r="G62" s="7">
        <v>1</v>
      </c>
      <c r="H62" s="7" t="s">
        <v>411</v>
      </c>
      <c r="I62" s="7" t="str">
        <f t="shared" si="2"/>
        <v/>
      </c>
    </row>
    <row r="63" spans="2:9" ht="15" customHeight="1" x14ac:dyDescent="0.25">
      <c r="B63" s="1" t="s">
        <v>54</v>
      </c>
      <c r="C63" s="2" t="s">
        <v>152</v>
      </c>
      <c r="D63" t="s">
        <v>408</v>
      </c>
      <c r="E63" s="8" t="str">
        <f t="shared" si="1"/>
        <v>71.056</v>
      </c>
      <c r="F63" t="str">
        <f t="shared" si="0"/>
        <v>Ja</v>
      </c>
      <c r="G63" s="7">
        <v>2</v>
      </c>
      <c r="H63" s="7" t="s">
        <v>411</v>
      </c>
      <c r="I63" s="7" t="str">
        <f t="shared" si="2"/>
        <v/>
      </c>
    </row>
    <row r="64" spans="2:9" ht="15" customHeight="1" x14ac:dyDescent="0.25">
      <c r="B64" s="1" t="s">
        <v>55</v>
      </c>
      <c r="C64" s="2" t="s">
        <v>153</v>
      </c>
      <c r="D64" t="s">
        <v>408</v>
      </c>
      <c r="E64" s="8" t="str">
        <f t="shared" si="1"/>
        <v>71.057</v>
      </c>
      <c r="F64" t="str">
        <f t="shared" si="0"/>
        <v>Ja</v>
      </c>
      <c r="G64" s="7">
        <v>2</v>
      </c>
      <c r="H64" s="7" t="s">
        <v>411</v>
      </c>
      <c r="I64" s="7" t="str">
        <f t="shared" si="2"/>
        <v/>
      </c>
    </row>
    <row r="65" spans="2:9" ht="15" customHeight="1" x14ac:dyDescent="0.25">
      <c r="B65" s="1" t="s">
        <v>56</v>
      </c>
      <c r="C65" s="2" t="s">
        <v>154</v>
      </c>
      <c r="D65" t="s">
        <v>408</v>
      </c>
      <c r="E65" s="8" t="str">
        <f t="shared" si="1"/>
        <v>71.058</v>
      </c>
      <c r="F65" t="str">
        <f t="shared" si="0"/>
        <v>Ja</v>
      </c>
      <c r="G65" s="7">
        <v>1</v>
      </c>
      <c r="H65" s="7" t="s">
        <v>411</v>
      </c>
      <c r="I65" s="7" t="str">
        <f t="shared" si="2"/>
        <v/>
      </c>
    </row>
    <row r="66" spans="2:9" ht="15" customHeight="1" x14ac:dyDescent="0.25">
      <c r="B66" s="1" t="s">
        <v>57</v>
      </c>
      <c r="C66" s="2" t="s">
        <v>155</v>
      </c>
      <c r="D66" t="s">
        <v>408</v>
      </c>
      <c r="E66" s="8" t="str">
        <f t="shared" si="1"/>
        <v>71.059</v>
      </c>
      <c r="F66" t="str">
        <f t="shared" si="0"/>
        <v>Nee</v>
      </c>
      <c r="G66" s="7">
        <v>0</v>
      </c>
      <c r="H66" s="7" t="s">
        <v>411</v>
      </c>
      <c r="I66" s="7" t="str">
        <f t="shared" si="2"/>
        <v/>
      </c>
    </row>
    <row r="67" spans="2:9" ht="15" customHeight="1" x14ac:dyDescent="0.25">
      <c r="B67" s="1" t="s">
        <v>58</v>
      </c>
      <c r="C67" s="2" t="s">
        <v>156</v>
      </c>
      <c r="D67" t="s">
        <v>408</v>
      </c>
      <c r="E67" s="8" t="str">
        <f t="shared" si="1"/>
        <v>71.060</v>
      </c>
      <c r="F67" t="str">
        <f t="shared" si="0"/>
        <v>Nee</v>
      </c>
      <c r="G67" s="7">
        <v>0</v>
      </c>
      <c r="H67" s="7" t="s">
        <v>411</v>
      </c>
      <c r="I67" s="7" t="str">
        <f t="shared" si="2"/>
        <v/>
      </c>
    </row>
    <row r="68" spans="2:9" ht="15" customHeight="1" x14ac:dyDescent="0.25">
      <c r="B68" s="1" t="s">
        <v>59</v>
      </c>
      <c r="C68" s="2" t="s">
        <v>157</v>
      </c>
      <c r="D68" t="s">
        <v>408</v>
      </c>
      <c r="E68" s="8" t="str">
        <f t="shared" si="1"/>
        <v>71.061</v>
      </c>
      <c r="F68" t="str">
        <f t="shared" si="0"/>
        <v>Nee</v>
      </c>
      <c r="G68" s="7">
        <v>0</v>
      </c>
      <c r="H68" s="7" t="s">
        <v>411</v>
      </c>
      <c r="I68" s="7" t="str">
        <f t="shared" si="2"/>
        <v/>
      </c>
    </row>
    <row r="69" spans="2:9" ht="15" customHeight="1" x14ac:dyDescent="0.25">
      <c r="B69" s="1" t="s">
        <v>60</v>
      </c>
      <c r="C69" s="2" t="s">
        <v>158</v>
      </c>
      <c r="D69" t="s">
        <v>408</v>
      </c>
      <c r="E69" s="8" t="str">
        <f t="shared" si="1"/>
        <v>71.062</v>
      </c>
      <c r="F69" t="str">
        <f t="shared" si="0"/>
        <v>Ja</v>
      </c>
      <c r="G69" s="7">
        <v>1</v>
      </c>
      <c r="H69" s="7" t="s">
        <v>411</v>
      </c>
      <c r="I69" s="7" t="str">
        <f t="shared" si="2"/>
        <v/>
      </c>
    </row>
    <row r="70" spans="2:9" ht="15" customHeight="1" x14ac:dyDescent="0.25">
      <c r="B70" s="1" t="s">
        <v>61</v>
      </c>
      <c r="C70" s="2" t="s">
        <v>159</v>
      </c>
      <c r="D70" t="s">
        <v>408</v>
      </c>
      <c r="E70" s="8" t="str">
        <f t="shared" si="1"/>
        <v>71.063</v>
      </c>
      <c r="F70" t="str">
        <f t="shared" si="0"/>
        <v>Ja</v>
      </c>
      <c r="G70" s="7">
        <v>1</v>
      </c>
      <c r="H70" s="7" t="s">
        <v>411</v>
      </c>
      <c r="I70" s="7" t="str">
        <f t="shared" si="2"/>
        <v/>
      </c>
    </row>
    <row r="71" spans="2:9" ht="15" customHeight="1" x14ac:dyDescent="0.25">
      <c r="B71" s="1" t="s">
        <v>62</v>
      </c>
      <c r="C71" s="2" t="s">
        <v>160</v>
      </c>
      <c r="D71" t="s">
        <v>408</v>
      </c>
      <c r="E71" s="8" t="str">
        <f t="shared" si="1"/>
        <v>71.064</v>
      </c>
      <c r="F71" t="str">
        <f t="shared" si="0"/>
        <v>Ja</v>
      </c>
      <c r="G71" s="7">
        <v>1</v>
      </c>
      <c r="H71" s="7" t="s">
        <v>411</v>
      </c>
      <c r="I71" s="7" t="str">
        <f t="shared" si="2"/>
        <v/>
      </c>
    </row>
    <row r="72" spans="2:9" ht="15" customHeight="1" x14ac:dyDescent="0.25">
      <c r="B72" s="1" t="s">
        <v>63</v>
      </c>
      <c r="C72" s="2" t="s">
        <v>161</v>
      </c>
      <c r="D72" t="s">
        <v>408</v>
      </c>
      <c r="E72" s="8" t="str">
        <f t="shared" si="1"/>
        <v>71.065</v>
      </c>
      <c r="F72" t="str">
        <f t="shared" ref="F72:F135" si="3">IF(G72="","",IF(G72&gt;0,"Ja","Nee"))</f>
        <v>Ja</v>
      </c>
      <c r="G72" s="7">
        <v>1</v>
      </c>
      <c r="H72" s="7" t="s">
        <v>411</v>
      </c>
      <c r="I72" s="7" t="str">
        <f t="shared" si="2"/>
        <v/>
      </c>
    </row>
    <row r="73" spans="2:9" ht="15" customHeight="1" x14ac:dyDescent="0.25">
      <c r="B73" s="1" t="s">
        <v>64</v>
      </c>
      <c r="C73" s="2" t="s">
        <v>162</v>
      </c>
      <c r="D73" t="s">
        <v>408</v>
      </c>
      <c r="E73" s="8" t="str">
        <f t="shared" ref="E73:E136" si="4">IF(D73="Model Air","71."&amp;C73,IF(D73="Model Color","70."&amp;C73,IF(D73="Metal Color","77."&amp;C73,IF(D73="Primer 200ml","74."&amp;C73,IF(D73="Primer 60ml","73."&amp;C73,IF(D73="Primer 17ml","70."&amp;C73,IF(D73="Enamel Revell","REV-"&amp;VALUE(C73),"")))))))</f>
        <v>71.066</v>
      </c>
      <c r="F73" t="str">
        <f t="shared" si="3"/>
        <v>Nee</v>
      </c>
      <c r="G73" s="7">
        <v>0</v>
      </c>
      <c r="H73" s="7" t="s">
        <v>411</v>
      </c>
      <c r="I73" s="7" t="str">
        <f t="shared" ref="I73:I136" si="5">IF(H73="Ja",IF(J73="",1,J73),"")</f>
        <v/>
      </c>
    </row>
    <row r="74" spans="2:9" ht="15" customHeight="1" x14ac:dyDescent="0.25">
      <c r="B74" s="1" t="s">
        <v>65</v>
      </c>
      <c r="C74" s="2" t="s">
        <v>163</v>
      </c>
      <c r="D74" t="s">
        <v>408</v>
      </c>
      <c r="E74" s="8" t="str">
        <f t="shared" si="4"/>
        <v>71.067</v>
      </c>
      <c r="F74" t="str">
        <f t="shared" si="3"/>
        <v>Nee</v>
      </c>
      <c r="G74" s="7">
        <v>0</v>
      </c>
      <c r="H74" s="7" t="s">
        <v>411</v>
      </c>
      <c r="I74" s="7" t="str">
        <f t="shared" si="5"/>
        <v/>
      </c>
    </row>
    <row r="75" spans="2:9" ht="15" customHeight="1" x14ac:dyDescent="0.25">
      <c r="B75" s="1" t="s">
        <v>66</v>
      </c>
      <c r="C75" s="2" t="s">
        <v>164</v>
      </c>
      <c r="D75" t="s">
        <v>408</v>
      </c>
      <c r="E75" s="8" t="str">
        <f t="shared" si="4"/>
        <v>71.068</v>
      </c>
      <c r="F75" t="str">
        <f t="shared" si="3"/>
        <v>Nee</v>
      </c>
      <c r="G75" s="7">
        <v>0</v>
      </c>
      <c r="H75" s="7" t="s">
        <v>411</v>
      </c>
      <c r="I75" s="7" t="str">
        <f t="shared" si="5"/>
        <v/>
      </c>
    </row>
    <row r="76" spans="2:9" ht="15" customHeight="1" x14ac:dyDescent="0.25">
      <c r="B76" s="1" t="s">
        <v>67</v>
      </c>
      <c r="C76" s="2" t="s">
        <v>165</v>
      </c>
      <c r="D76" t="s">
        <v>408</v>
      </c>
      <c r="E76" s="8" t="str">
        <f t="shared" si="4"/>
        <v>71.069</v>
      </c>
      <c r="F76" t="str">
        <f t="shared" si="3"/>
        <v>Nee</v>
      </c>
      <c r="G76" s="7">
        <v>0</v>
      </c>
      <c r="H76" s="7" t="s">
        <v>411</v>
      </c>
      <c r="I76" s="7" t="str">
        <f t="shared" si="5"/>
        <v/>
      </c>
    </row>
    <row r="77" spans="2:9" ht="15" customHeight="1" x14ac:dyDescent="0.25">
      <c r="B77" s="1" t="s">
        <v>68</v>
      </c>
      <c r="C77" s="2" t="s">
        <v>166</v>
      </c>
      <c r="D77" t="s">
        <v>408</v>
      </c>
      <c r="E77" s="8" t="str">
        <f t="shared" si="4"/>
        <v>71.070</v>
      </c>
      <c r="F77" t="str">
        <f t="shared" si="3"/>
        <v>Nee</v>
      </c>
      <c r="G77" s="7">
        <v>0</v>
      </c>
      <c r="H77" s="7" t="s">
        <v>411</v>
      </c>
      <c r="I77" s="7" t="str">
        <f t="shared" si="5"/>
        <v/>
      </c>
    </row>
    <row r="78" spans="2:9" ht="15" customHeight="1" x14ac:dyDescent="0.25">
      <c r="B78" s="1" t="s">
        <v>69</v>
      </c>
      <c r="C78" s="2" t="s">
        <v>167</v>
      </c>
      <c r="D78" t="s">
        <v>408</v>
      </c>
      <c r="E78" s="8" t="str">
        <f t="shared" si="4"/>
        <v>71.071</v>
      </c>
      <c r="F78" t="str">
        <f t="shared" si="3"/>
        <v>Nee</v>
      </c>
      <c r="G78" s="7">
        <v>0</v>
      </c>
      <c r="H78" s="7" t="s">
        <v>411</v>
      </c>
      <c r="I78" s="7" t="str">
        <f t="shared" si="5"/>
        <v/>
      </c>
    </row>
    <row r="79" spans="2:9" ht="15" customHeight="1" x14ac:dyDescent="0.25">
      <c r="B79" s="1" t="s">
        <v>70</v>
      </c>
      <c r="C79" s="2" t="s">
        <v>168</v>
      </c>
      <c r="D79" t="s">
        <v>408</v>
      </c>
      <c r="E79" s="8" t="str">
        <f t="shared" si="4"/>
        <v>71.072</v>
      </c>
      <c r="F79" t="str">
        <f t="shared" si="3"/>
        <v>Ja</v>
      </c>
      <c r="G79" s="7">
        <v>1</v>
      </c>
      <c r="H79" s="7" t="s">
        <v>411</v>
      </c>
      <c r="I79" s="7" t="str">
        <f t="shared" si="5"/>
        <v/>
      </c>
    </row>
    <row r="80" spans="2:9" ht="15" customHeight="1" x14ac:dyDescent="0.25">
      <c r="B80" s="1" t="s">
        <v>71</v>
      </c>
      <c r="C80" s="2" t="s">
        <v>169</v>
      </c>
      <c r="D80" t="s">
        <v>408</v>
      </c>
      <c r="E80" s="8" t="str">
        <f t="shared" si="4"/>
        <v>71.073</v>
      </c>
      <c r="F80" t="str">
        <f t="shared" si="3"/>
        <v>Ja</v>
      </c>
      <c r="G80" s="7">
        <v>1</v>
      </c>
      <c r="H80" s="7" t="s">
        <v>411</v>
      </c>
      <c r="I80" s="7" t="str">
        <f t="shared" si="5"/>
        <v/>
      </c>
    </row>
    <row r="81" spans="2:9" ht="15" customHeight="1" x14ac:dyDescent="0.25">
      <c r="B81" s="1" t="s">
        <v>72</v>
      </c>
      <c r="C81" s="2" t="s">
        <v>170</v>
      </c>
      <c r="D81" t="s">
        <v>408</v>
      </c>
      <c r="E81" s="8" t="str">
        <f t="shared" si="4"/>
        <v>71.074</v>
      </c>
      <c r="F81" t="str">
        <f t="shared" si="3"/>
        <v>Nee</v>
      </c>
      <c r="G81" s="7">
        <v>0</v>
      </c>
      <c r="H81" s="7" t="s">
        <v>411</v>
      </c>
      <c r="I81" s="7" t="str">
        <f t="shared" si="5"/>
        <v/>
      </c>
    </row>
    <row r="82" spans="2:9" ht="15" customHeight="1" x14ac:dyDescent="0.25">
      <c r="B82" s="1" t="s">
        <v>73</v>
      </c>
      <c r="C82" s="2" t="s">
        <v>171</v>
      </c>
      <c r="D82" t="s">
        <v>408</v>
      </c>
      <c r="E82" s="8" t="str">
        <f t="shared" si="4"/>
        <v>71.075</v>
      </c>
      <c r="F82" t="str">
        <f t="shared" si="3"/>
        <v>Ja</v>
      </c>
      <c r="G82" s="7">
        <v>1</v>
      </c>
      <c r="H82" s="7" t="s">
        <v>411</v>
      </c>
      <c r="I82" s="7" t="str">
        <f t="shared" si="5"/>
        <v/>
      </c>
    </row>
    <row r="83" spans="2:9" ht="15" customHeight="1" x14ac:dyDescent="0.25">
      <c r="B83" s="1" t="s">
        <v>74</v>
      </c>
      <c r="C83" s="2" t="s">
        <v>172</v>
      </c>
      <c r="D83" t="s">
        <v>408</v>
      </c>
      <c r="E83" s="8" t="str">
        <f t="shared" si="4"/>
        <v>71.076</v>
      </c>
      <c r="F83" t="str">
        <f t="shared" si="3"/>
        <v>Ja</v>
      </c>
      <c r="G83" s="7">
        <v>1</v>
      </c>
      <c r="H83" s="7" t="s">
        <v>411</v>
      </c>
      <c r="I83" s="7" t="str">
        <f t="shared" si="5"/>
        <v/>
      </c>
    </row>
    <row r="84" spans="2:9" ht="15" customHeight="1" x14ac:dyDescent="0.25">
      <c r="B84" s="1" t="s">
        <v>75</v>
      </c>
      <c r="C84" s="2" t="s">
        <v>173</v>
      </c>
      <c r="D84" t="s">
        <v>408</v>
      </c>
      <c r="E84" s="8" t="str">
        <f t="shared" si="4"/>
        <v>71.077</v>
      </c>
      <c r="F84" t="str">
        <f t="shared" si="3"/>
        <v>Nee</v>
      </c>
      <c r="G84" s="7">
        <v>0</v>
      </c>
      <c r="H84" s="7" t="s">
        <v>411</v>
      </c>
      <c r="I84" s="7" t="str">
        <f t="shared" si="5"/>
        <v/>
      </c>
    </row>
    <row r="85" spans="2:9" ht="15" customHeight="1" x14ac:dyDescent="0.25">
      <c r="B85" s="1" t="s">
        <v>76</v>
      </c>
      <c r="C85" s="2" t="s">
        <v>174</v>
      </c>
      <c r="D85" t="s">
        <v>408</v>
      </c>
      <c r="E85" s="8" t="str">
        <f t="shared" si="4"/>
        <v>71.078</v>
      </c>
      <c r="F85" t="str">
        <f t="shared" si="3"/>
        <v>Ja</v>
      </c>
      <c r="G85" s="7">
        <v>1</v>
      </c>
      <c r="H85" s="7" t="s">
        <v>411</v>
      </c>
      <c r="I85" s="7" t="str">
        <f t="shared" si="5"/>
        <v/>
      </c>
    </row>
    <row r="86" spans="2:9" ht="15" customHeight="1" x14ac:dyDescent="0.25">
      <c r="B86" s="1" t="s">
        <v>77</v>
      </c>
      <c r="C86" s="2" t="s">
        <v>175</v>
      </c>
      <c r="D86" t="s">
        <v>408</v>
      </c>
      <c r="E86" s="8" t="str">
        <f t="shared" si="4"/>
        <v>71.079</v>
      </c>
      <c r="F86" t="str">
        <f t="shared" si="3"/>
        <v>Nee</v>
      </c>
      <c r="G86" s="7">
        <v>0</v>
      </c>
      <c r="H86" s="7" t="s">
        <v>411</v>
      </c>
      <c r="I86" s="7" t="str">
        <f t="shared" si="5"/>
        <v/>
      </c>
    </row>
    <row r="87" spans="2:9" ht="15" customHeight="1" x14ac:dyDescent="0.25">
      <c r="B87" s="1" t="s">
        <v>78</v>
      </c>
      <c r="C87" s="2" t="s">
        <v>176</v>
      </c>
      <c r="D87" t="s">
        <v>408</v>
      </c>
      <c r="E87" s="8" t="str">
        <f t="shared" si="4"/>
        <v>71.080</v>
      </c>
      <c r="F87" t="str">
        <f t="shared" si="3"/>
        <v>Nee</v>
      </c>
      <c r="G87" s="7">
        <v>0</v>
      </c>
      <c r="H87" s="7" t="s">
        <v>412</v>
      </c>
      <c r="I87" s="7">
        <f t="shared" si="5"/>
        <v>1</v>
      </c>
    </row>
    <row r="88" spans="2:9" ht="15" customHeight="1" x14ac:dyDescent="0.25">
      <c r="B88" s="1" t="s">
        <v>79</v>
      </c>
      <c r="C88" s="2" t="s">
        <v>177</v>
      </c>
      <c r="D88" t="s">
        <v>408</v>
      </c>
      <c r="E88" s="8" t="str">
        <f t="shared" si="4"/>
        <v>71.081</v>
      </c>
      <c r="F88" t="str">
        <f t="shared" si="3"/>
        <v>Nee</v>
      </c>
      <c r="G88" s="7">
        <v>0</v>
      </c>
      <c r="H88" s="7" t="s">
        <v>411</v>
      </c>
      <c r="I88" s="7" t="str">
        <f t="shared" si="5"/>
        <v/>
      </c>
    </row>
    <row r="89" spans="2:9" ht="15" customHeight="1" x14ac:dyDescent="0.25">
      <c r="B89" s="1" t="s">
        <v>80</v>
      </c>
      <c r="C89" s="2" t="s">
        <v>178</v>
      </c>
      <c r="D89" t="s">
        <v>408</v>
      </c>
      <c r="E89" s="8" t="str">
        <f t="shared" si="4"/>
        <v>71.082</v>
      </c>
      <c r="F89" t="str">
        <f t="shared" si="3"/>
        <v>Nee</v>
      </c>
      <c r="G89" s="7">
        <v>0</v>
      </c>
      <c r="H89" s="7" t="s">
        <v>411</v>
      </c>
      <c r="I89" s="7" t="str">
        <f t="shared" si="5"/>
        <v/>
      </c>
    </row>
    <row r="90" spans="2:9" ht="15" customHeight="1" x14ac:dyDescent="0.25">
      <c r="B90" s="1" t="s">
        <v>81</v>
      </c>
      <c r="C90" s="2" t="s">
        <v>179</v>
      </c>
      <c r="D90" t="s">
        <v>408</v>
      </c>
      <c r="E90" s="8" t="str">
        <f t="shared" si="4"/>
        <v>71.083</v>
      </c>
      <c r="F90" t="str">
        <f t="shared" si="3"/>
        <v>Ja</v>
      </c>
      <c r="G90" s="7">
        <v>1</v>
      </c>
      <c r="H90" s="7" t="s">
        <v>411</v>
      </c>
      <c r="I90" s="7" t="str">
        <f t="shared" si="5"/>
        <v/>
      </c>
    </row>
    <row r="91" spans="2:9" ht="15" customHeight="1" x14ac:dyDescent="0.25">
      <c r="B91" s="1" t="s">
        <v>82</v>
      </c>
      <c r="C91" s="2" t="s">
        <v>180</v>
      </c>
      <c r="D91" t="s">
        <v>408</v>
      </c>
      <c r="E91" s="8" t="str">
        <f t="shared" si="4"/>
        <v>71.084</v>
      </c>
      <c r="F91" t="str">
        <f t="shared" si="3"/>
        <v>Nee</v>
      </c>
      <c r="G91" s="7">
        <v>0</v>
      </c>
      <c r="H91" s="7" t="s">
        <v>411</v>
      </c>
      <c r="I91" s="7" t="str">
        <f t="shared" si="5"/>
        <v/>
      </c>
    </row>
    <row r="92" spans="2:9" ht="15" customHeight="1" x14ac:dyDescent="0.25">
      <c r="B92" s="1" t="s">
        <v>83</v>
      </c>
      <c r="C92" s="2" t="s">
        <v>181</v>
      </c>
      <c r="D92" t="s">
        <v>408</v>
      </c>
      <c r="E92" s="8" t="str">
        <f t="shared" si="4"/>
        <v>71.085</v>
      </c>
      <c r="F92" t="str">
        <f t="shared" si="3"/>
        <v>Ja</v>
      </c>
      <c r="G92" s="7">
        <v>4</v>
      </c>
      <c r="H92" s="7" t="s">
        <v>411</v>
      </c>
      <c r="I92" s="7" t="str">
        <f t="shared" si="5"/>
        <v/>
      </c>
    </row>
    <row r="93" spans="2:9" ht="15" customHeight="1" x14ac:dyDescent="0.25">
      <c r="B93" s="1" t="s">
        <v>84</v>
      </c>
      <c r="C93" s="2" t="s">
        <v>182</v>
      </c>
      <c r="D93" t="s">
        <v>408</v>
      </c>
      <c r="E93" s="8" t="str">
        <f t="shared" si="4"/>
        <v>71.086</v>
      </c>
      <c r="F93" t="str">
        <f t="shared" si="3"/>
        <v>Ja</v>
      </c>
      <c r="G93" s="7">
        <v>1</v>
      </c>
      <c r="H93" s="7" t="s">
        <v>411</v>
      </c>
      <c r="I93" s="7" t="str">
        <f t="shared" si="5"/>
        <v/>
      </c>
    </row>
    <row r="94" spans="2:9" ht="15" customHeight="1" x14ac:dyDescent="0.25">
      <c r="B94" s="1" t="s">
        <v>85</v>
      </c>
      <c r="C94" s="2" t="s">
        <v>183</v>
      </c>
      <c r="D94" t="s">
        <v>408</v>
      </c>
      <c r="E94" s="8" t="str">
        <f t="shared" si="4"/>
        <v>71.087</v>
      </c>
      <c r="F94" t="str">
        <f t="shared" si="3"/>
        <v>Nee</v>
      </c>
      <c r="G94" s="7">
        <v>0</v>
      </c>
      <c r="H94" s="7" t="s">
        <v>411</v>
      </c>
      <c r="I94" s="7" t="str">
        <f t="shared" si="5"/>
        <v/>
      </c>
    </row>
    <row r="95" spans="2:9" ht="15" customHeight="1" x14ac:dyDescent="0.25">
      <c r="B95" s="1" t="s">
        <v>86</v>
      </c>
      <c r="C95" s="2" t="s">
        <v>184</v>
      </c>
      <c r="D95" t="s">
        <v>408</v>
      </c>
      <c r="E95" s="8" t="str">
        <f t="shared" si="4"/>
        <v>71.088</v>
      </c>
      <c r="F95" t="str">
        <f t="shared" si="3"/>
        <v>Nee</v>
      </c>
      <c r="G95" s="7">
        <v>0</v>
      </c>
      <c r="H95" s="7" t="s">
        <v>411</v>
      </c>
      <c r="I95" s="7" t="str">
        <f t="shared" si="5"/>
        <v/>
      </c>
    </row>
    <row r="96" spans="2:9" ht="15" customHeight="1" x14ac:dyDescent="0.25">
      <c r="B96" s="1" t="s">
        <v>87</v>
      </c>
      <c r="C96" s="2" t="s">
        <v>185</v>
      </c>
      <c r="D96" t="s">
        <v>408</v>
      </c>
      <c r="E96" s="8" t="str">
        <f t="shared" si="4"/>
        <v>71.089</v>
      </c>
      <c r="F96" t="str">
        <f t="shared" si="3"/>
        <v>Ja</v>
      </c>
      <c r="G96" s="7">
        <v>2</v>
      </c>
      <c r="H96" s="7" t="s">
        <v>411</v>
      </c>
      <c r="I96" s="7" t="str">
        <f t="shared" si="5"/>
        <v/>
      </c>
    </row>
    <row r="97" spans="2:9" ht="15" customHeight="1" x14ac:dyDescent="0.25">
      <c r="B97" s="1" t="s">
        <v>88</v>
      </c>
      <c r="C97" s="2" t="s">
        <v>186</v>
      </c>
      <c r="D97" t="s">
        <v>408</v>
      </c>
      <c r="E97" s="8" t="str">
        <f t="shared" si="4"/>
        <v>71.090</v>
      </c>
      <c r="F97" t="str">
        <f t="shared" si="3"/>
        <v>Ja</v>
      </c>
      <c r="G97" s="7">
        <v>2</v>
      </c>
      <c r="H97" s="7" t="s">
        <v>411</v>
      </c>
      <c r="I97" s="7" t="str">
        <f t="shared" si="5"/>
        <v/>
      </c>
    </row>
    <row r="98" spans="2:9" ht="15" customHeight="1" x14ac:dyDescent="0.25">
      <c r="B98" s="1" t="s">
        <v>89</v>
      </c>
      <c r="C98" s="2" t="s">
        <v>187</v>
      </c>
      <c r="D98" t="s">
        <v>408</v>
      </c>
      <c r="E98" s="8" t="str">
        <f t="shared" si="4"/>
        <v>71.091</v>
      </c>
      <c r="F98" t="str">
        <f t="shared" si="3"/>
        <v>Nee</v>
      </c>
      <c r="G98" s="7">
        <v>0</v>
      </c>
      <c r="H98" s="7" t="s">
        <v>411</v>
      </c>
      <c r="I98" s="7" t="str">
        <f t="shared" si="5"/>
        <v/>
      </c>
    </row>
    <row r="99" spans="2:9" ht="15" customHeight="1" x14ac:dyDescent="0.25">
      <c r="B99" s="1" t="s">
        <v>90</v>
      </c>
      <c r="C99" s="2" t="s">
        <v>188</v>
      </c>
      <c r="D99" t="s">
        <v>408</v>
      </c>
      <c r="E99" s="8" t="str">
        <f t="shared" si="4"/>
        <v>71.092</v>
      </c>
      <c r="F99" t="str">
        <f t="shared" si="3"/>
        <v>Ja</v>
      </c>
      <c r="G99" s="7">
        <v>1</v>
      </c>
      <c r="H99" s="7" t="s">
        <v>411</v>
      </c>
      <c r="I99" s="7" t="str">
        <f t="shared" si="5"/>
        <v/>
      </c>
    </row>
    <row r="100" spans="2:9" ht="15" customHeight="1" x14ac:dyDescent="0.25">
      <c r="B100" s="1" t="s">
        <v>91</v>
      </c>
      <c r="C100" s="2" t="s">
        <v>189</v>
      </c>
      <c r="D100" t="s">
        <v>408</v>
      </c>
      <c r="E100" s="8" t="str">
        <f t="shared" si="4"/>
        <v>71.093</v>
      </c>
      <c r="F100" t="str">
        <f t="shared" si="3"/>
        <v>Nee</v>
      </c>
      <c r="G100" s="7">
        <v>0</v>
      </c>
      <c r="H100" s="7" t="s">
        <v>411</v>
      </c>
      <c r="I100" s="7" t="str">
        <f t="shared" si="5"/>
        <v/>
      </c>
    </row>
    <row r="101" spans="2:9" ht="15" customHeight="1" x14ac:dyDescent="0.25">
      <c r="B101" s="1" t="s">
        <v>92</v>
      </c>
      <c r="C101" s="2" t="s">
        <v>190</v>
      </c>
      <c r="D101" t="s">
        <v>408</v>
      </c>
      <c r="E101" s="8" t="str">
        <f t="shared" si="4"/>
        <v>71.094</v>
      </c>
      <c r="F101" t="str">
        <f t="shared" si="3"/>
        <v>Ja</v>
      </c>
      <c r="G101" s="7">
        <v>1</v>
      </c>
      <c r="H101" s="7" t="s">
        <v>411</v>
      </c>
      <c r="I101" s="7" t="str">
        <f t="shared" si="5"/>
        <v/>
      </c>
    </row>
    <row r="102" spans="2:9" ht="15" customHeight="1" x14ac:dyDescent="0.25">
      <c r="B102" s="1" t="s">
        <v>93</v>
      </c>
      <c r="C102" s="2" t="s">
        <v>191</v>
      </c>
      <c r="D102" t="s">
        <v>408</v>
      </c>
      <c r="E102" s="8" t="str">
        <f t="shared" si="4"/>
        <v>71.095</v>
      </c>
      <c r="F102" t="str">
        <f t="shared" si="3"/>
        <v>Ja</v>
      </c>
      <c r="G102" s="7">
        <v>2</v>
      </c>
      <c r="H102" s="7" t="s">
        <v>411</v>
      </c>
      <c r="I102" s="7" t="str">
        <f t="shared" si="5"/>
        <v/>
      </c>
    </row>
    <row r="103" spans="2:9" ht="15" customHeight="1" x14ac:dyDescent="0.25">
      <c r="B103" s="1" t="s">
        <v>94</v>
      </c>
      <c r="C103" s="2" t="s">
        <v>192</v>
      </c>
      <c r="D103" t="s">
        <v>408</v>
      </c>
      <c r="E103" s="8" t="str">
        <f t="shared" si="4"/>
        <v>71.096</v>
      </c>
      <c r="F103" t="str">
        <f t="shared" si="3"/>
        <v>Nee</v>
      </c>
      <c r="G103" s="7">
        <v>0</v>
      </c>
      <c r="H103" s="7" t="s">
        <v>411</v>
      </c>
      <c r="I103" s="7" t="str">
        <f t="shared" si="5"/>
        <v/>
      </c>
    </row>
    <row r="104" spans="2:9" ht="15" customHeight="1" x14ac:dyDescent="0.25">
      <c r="B104" s="1" t="s">
        <v>95</v>
      </c>
      <c r="C104" s="2" t="s">
        <v>193</v>
      </c>
      <c r="D104" t="s">
        <v>408</v>
      </c>
      <c r="E104" s="8" t="str">
        <f t="shared" si="4"/>
        <v>71.097</v>
      </c>
      <c r="F104" t="str">
        <f t="shared" si="3"/>
        <v>Ja</v>
      </c>
      <c r="G104" s="7">
        <v>1</v>
      </c>
      <c r="H104" s="7" t="s">
        <v>411</v>
      </c>
      <c r="I104" s="7" t="str">
        <f t="shared" si="5"/>
        <v/>
      </c>
    </row>
    <row r="105" spans="2:9" ht="15" customHeight="1" x14ac:dyDescent="0.25">
      <c r="B105" s="1" t="s">
        <v>438</v>
      </c>
      <c r="C105" s="2" t="s">
        <v>439</v>
      </c>
      <c r="D105" t="s">
        <v>408</v>
      </c>
      <c r="E105" s="8" t="str">
        <f t="shared" si="4"/>
        <v>71.109</v>
      </c>
      <c r="F105" t="str">
        <f t="shared" si="3"/>
        <v>Ja</v>
      </c>
      <c r="G105" s="7">
        <v>1</v>
      </c>
      <c r="H105" s="7" t="s">
        <v>411</v>
      </c>
      <c r="I105" s="7" t="str">
        <f t="shared" si="5"/>
        <v/>
      </c>
    </row>
    <row r="106" spans="2:9" ht="15" customHeight="1" x14ac:dyDescent="0.25">
      <c r="B106" s="1" t="s">
        <v>436</v>
      </c>
      <c r="C106" s="2" t="s">
        <v>437</v>
      </c>
      <c r="D106" t="s">
        <v>408</v>
      </c>
      <c r="E106" s="8" t="str">
        <f t="shared" si="4"/>
        <v>71.111</v>
      </c>
      <c r="F106" t="str">
        <f t="shared" si="3"/>
        <v>Ja</v>
      </c>
      <c r="G106" s="7">
        <v>1</v>
      </c>
      <c r="H106" s="7" t="s">
        <v>411</v>
      </c>
      <c r="I106" s="7" t="str">
        <f t="shared" si="5"/>
        <v/>
      </c>
    </row>
    <row r="107" spans="2:9" ht="15" customHeight="1" x14ac:dyDescent="0.25">
      <c r="B107" s="1" t="s">
        <v>440</v>
      </c>
      <c r="C107" s="2" t="s">
        <v>441</v>
      </c>
      <c r="D107" t="s">
        <v>408</v>
      </c>
      <c r="E107" s="8" t="str">
        <f t="shared" si="4"/>
        <v>71.120</v>
      </c>
      <c r="F107" t="str">
        <f t="shared" si="3"/>
        <v>Ja</v>
      </c>
      <c r="G107" s="7">
        <v>1</v>
      </c>
      <c r="H107" s="7" t="s">
        <v>411</v>
      </c>
      <c r="I107" s="7" t="str">
        <f t="shared" si="5"/>
        <v/>
      </c>
    </row>
    <row r="108" spans="2:9" ht="15" customHeight="1" x14ac:dyDescent="0.25">
      <c r="B108" s="1" t="s">
        <v>432</v>
      </c>
      <c r="C108" s="2" t="s">
        <v>433</v>
      </c>
      <c r="D108" t="s">
        <v>408</v>
      </c>
      <c r="E108" s="8" t="str">
        <f t="shared" si="4"/>
        <v>71.121</v>
      </c>
      <c r="F108" t="str">
        <f t="shared" si="3"/>
        <v>Ja</v>
      </c>
      <c r="G108" s="7">
        <v>1</v>
      </c>
      <c r="H108" s="7" t="s">
        <v>411</v>
      </c>
      <c r="I108" s="7" t="str">
        <f t="shared" si="5"/>
        <v/>
      </c>
    </row>
    <row r="109" spans="2:9" ht="15" customHeight="1" x14ac:dyDescent="0.25">
      <c r="B109" s="1" t="s">
        <v>428</v>
      </c>
      <c r="C109" s="2" t="s">
        <v>429</v>
      </c>
      <c r="D109" t="s">
        <v>408</v>
      </c>
      <c r="E109" s="8" t="str">
        <f t="shared" si="4"/>
        <v>71.131</v>
      </c>
      <c r="F109" t="str">
        <f t="shared" si="3"/>
        <v>Ja</v>
      </c>
      <c r="G109" s="7">
        <v>1</v>
      </c>
      <c r="H109" s="7" t="s">
        <v>411</v>
      </c>
      <c r="I109" s="7" t="str">
        <f t="shared" si="5"/>
        <v/>
      </c>
    </row>
    <row r="110" spans="2:9" ht="15" customHeight="1" x14ac:dyDescent="0.25">
      <c r="B110" s="1" t="s">
        <v>453</v>
      </c>
      <c r="C110" s="2" t="s">
        <v>454</v>
      </c>
      <c r="D110" t="s">
        <v>408</v>
      </c>
      <c r="E110" s="8" t="str">
        <f t="shared" si="4"/>
        <v>71.137</v>
      </c>
      <c r="F110" t="str">
        <f t="shared" si="3"/>
        <v>Ja</v>
      </c>
      <c r="G110" s="7">
        <v>1</v>
      </c>
      <c r="H110" s="7" t="s">
        <v>411</v>
      </c>
      <c r="I110" s="7" t="str">
        <f t="shared" si="5"/>
        <v/>
      </c>
    </row>
    <row r="111" spans="2:9" ht="15" customHeight="1" x14ac:dyDescent="0.25">
      <c r="B111" s="1" t="s">
        <v>446</v>
      </c>
      <c r="C111" s="2" t="s">
        <v>447</v>
      </c>
      <c r="D111" t="s">
        <v>408</v>
      </c>
      <c r="E111" s="8" t="str">
        <f t="shared" si="4"/>
        <v>71.139</v>
      </c>
      <c r="F111" t="str">
        <f t="shared" si="3"/>
        <v>Ja</v>
      </c>
      <c r="G111" s="7">
        <v>1</v>
      </c>
      <c r="H111" s="7" t="s">
        <v>411</v>
      </c>
      <c r="I111" s="7" t="str">
        <f t="shared" si="5"/>
        <v/>
      </c>
    </row>
    <row r="112" spans="2:9" ht="15" customHeight="1" x14ac:dyDescent="0.25">
      <c r="B112" s="1" t="s">
        <v>430</v>
      </c>
      <c r="C112" s="2" t="s">
        <v>431</v>
      </c>
      <c r="D112" t="s">
        <v>408</v>
      </c>
      <c r="E112" s="8" t="str">
        <f t="shared" si="4"/>
        <v>71.251</v>
      </c>
      <c r="F112" t="str">
        <f t="shared" si="3"/>
        <v>Ja</v>
      </c>
      <c r="G112" s="7">
        <v>1</v>
      </c>
      <c r="H112" s="7" t="s">
        <v>411</v>
      </c>
      <c r="I112" s="7" t="str">
        <f t="shared" si="5"/>
        <v/>
      </c>
    </row>
    <row r="113" spans="2:9" ht="15" customHeight="1" x14ac:dyDescent="0.25">
      <c r="B113" s="1" t="s">
        <v>15</v>
      </c>
      <c r="C113" s="2" t="s">
        <v>452</v>
      </c>
      <c r="D113" t="s">
        <v>408</v>
      </c>
      <c r="E113" s="8" t="str">
        <f t="shared" si="4"/>
        <v>71.289</v>
      </c>
      <c r="F113" t="str">
        <f t="shared" si="3"/>
        <v>Ja</v>
      </c>
      <c r="G113" s="7">
        <v>1</v>
      </c>
      <c r="H113" s="7" t="s">
        <v>411</v>
      </c>
      <c r="I113" s="7" t="str">
        <f t="shared" si="5"/>
        <v/>
      </c>
    </row>
    <row r="114" spans="2:9" ht="15" customHeight="1" x14ac:dyDescent="0.25">
      <c r="B114" s="1" t="s">
        <v>442</v>
      </c>
      <c r="C114" s="2" t="s">
        <v>443</v>
      </c>
      <c r="D114" t="s">
        <v>408</v>
      </c>
      <c r="E114" s="8" t="str">
        <f t="shared" si="4"/>
        <v>71.290</v>
      </c>
      <c r="F114" t="str">
        <f t="shared" si="3"/>
        <v>Ja</v>
      </c>
      <c r="G114" s="7">
        <v>1</v>
      </c>
      <c r="H114" s="7" t="s">
        <v>411</v>
      </c>
      <c r="I114" s="7" t="str">
        <f t="shared" si="5"/>
        <v/>
      </c>
    </row>
    <row r="115" spans="2:9" ht="15" customHeight="1" x14ac:dyDescent="0.25">
      <c r="B115" s="1" t="s">
        <v>448</v>
      </c>
      <c r="C115" s="2" t="s">
        <v>449</v>
      </c>
      <c r="D115" t="s">
        <v>408</v>
      </c>
      <c r="E115" s="8" t="str">
        <f t="shared" si="4"/>
        <v>71.291</v>
      </c>
      <c r="F115" t="str">
        <f t="shared" si="3"/>
        <v>Ja</v>
      </c>
      <c r="G115" s="7">
        <v>1</v>
      </c>
      <c r="H115" s="7" t="s">
        <v>411</v>
      </c>
      <c r="I115" s="7" t="str">
        <f t="shared" si="5"/>
        <v/>
      </c>
    </row>
    <row r="116" spans="2:9" ht="15" customHeight="1" x14ac:dyDescent="0.25">
      <c r="B116" s="1" t="s">
        <v>450</v>
      </c>
      <c r="C116" s="2" t="s">
        <v>451</v>
      </c>
      <c r="D116" t="s">
        <v>408</v>
      </c>
      <c r="E116" s="8" t="str">
        <f t="shared" si="4"/>
        <v>71.294</v>
      </c>
      <c r="F116" t="str">
        <f t="shared" si="3"/>
        <v>Ja</v>
      </c>
      <c r="G116" s="7">
        <v>1</v>
      </c>
      <c r="H116" s="7" t="s">
        <v>411</v>
      </c>
      <c r="I116" s="7" t="str">
        <f t="shared" si="5"/>
        <v/>
      </c>
    </row>
    <row r="117" spans="2:9" ht="15" customHeight="1" x14ac:dyDescent="0.25">
      <c r="B117" s="1" t="s">
        <v>434</v>
      </c>
      <c r="C117" s="2" t="s">
        <v>435</v>
      </c>
      <c r="D117" t="s">
        <v>408</v>
      </c>
      <c r="E117" s="8" t="str">
        <f t="shared" si="4"/>
        <v>71.277</v>
      </c>
      <c r="F117" t="str">
        <f t="shared" si="3"/>
        <v>Ja</v>
      </c>
      <c r="G117" s="7">
        <v>1</v>
      </c>
      <c r="H117" s="7" t="s">
        <v>411</v>
      </c>
      <c r="I117" s="7" t="str">
        <f t="shared" si="5"/>
        <v/>
      </c>
    </row>
    <row r="118" spans="2:9" ht="15" customHeight="1" x14ac:dyDescent="0.25">
      <c r="B118" s="1" t="s">
        <v>444</v>
      </c>
      <c r="C118" s="2" t="s">
        <v>445</v>
      </c>
      <c r="D118" t="s">
        <v>408</v>
      </c>
      <c r="E118" s="8" t="str">
        <f t="shared" si="4"/>
        <v>71.307</v>
      </c>
      <c r="F118" t="str">
        <f t="shared" si="3"/>
        <v>Ja</v>
      </c>
      <c r="G118" s="7">
        <v>1</v>
      </c>
      <c r="H118" s="7" t="s">
        <v>411</v>
      </c>
      <c r="I118" s="7" t="str">
        <f t="shared" si="5"/>
        <v/>
      </c>
    </row>
    <row r="119" spans="2:9" ht="15" customHeight="1" x14ac:dyDescent="0.25">
      <c r="B119" s="1" t="s">
        <v>461</v>
      </c>
      <c r="C119" s="2" t="s">
        <v>462</v>
      </c>
      <c r="D119" t="s">
        <v>408</v>
      </c>
      <c r="E119" s="8" t="str">
        <f t="shared" si="4"/>
        <v>71.315</v>
      </c>
      <c r="F119" t="str">
        <f t="shared" si="3"/>
        <v>Ja</v>
      </c>
      <c r="G119" s="7">
        <v>1</v>
      </c>
      <c r="H119" s="7" t="s">
        <v>411</v>
      </c>
      <c r="I119" s="7" t="str">
        <f t="shared" si="5"/>
        <v/>
      </c>
    </row>
    <row r="120" spans="2:9" ht="15" customHeight="1" x14ac:dyDescent="0.25">
      <c r="B120" s="3" t="s">
        <v>195</v>
      </c>
      <c r="C120" s="4">
        <v>400</v>
      </c>
      <c r="D120" t="s">
        <v>409</v>
      </c>
      <c r="E120" s="8" t="str">
        <f t="shared" si="4"/>
        <v>70.400</v>
      </c>
      <c r="F120" t="str">
        <f t="shared" si="3"/>
        <v>Nee</v>
      </c>
      <c r="G120" s="7">
        <v>0</v>
      </c>
      <c r="H120" s="7" t="s">
        <v>411</v>
      </c>
      <c r="I120" s="7" t="str">
        <f t="shared" si="5"/>
        <v/>
      </c>
    </row>
    <row r="121" spans="2:9" ht="15" customHeight="1" x14ac:dyDescent="0.25">
      <c r="B121" s="3" t="s">
        <v>196</v>
      </c>
      <c r="C121" s="4">
        <v>470</v>
      </c>
      <c r="D121" t="s">
        <v>409</v>
      </c>
      <c r="E121" s="8" t="str">
        <f t="shared" si="4"/>
        <v>70.470</v>
      </c>
      <c r="F121" t="str">
        <f t="shared" si="3"/>
        <v>Nee</v>
      </c>
      <c r="G121" s="7">
        <v>0</v>
      </c>
      <c r="H121" s="7" t="s">
        <v>411</v>
      </c>
      <c r="I121" s="7" t="str">
        <f t="shared" si="5"/>
        <v/>
      </c>
    </row>
    <row r="122" spans="2:9" ht="15" customHeight="1" x14ac:dyDescent="0.25">
      <c r="B122" s="3" t="s">
        <v>197</v>
      </c>
      <c r="C122" s="4">
        <v>510</v>
      </c>
      <c r="D122" t="s">
        <v>409</v>
      </c>
      <c r="E122" s="8" t="str">
        <f t="shared" si="4"/>
        <v>70.510</v>
      </c>
      <c r="F122" t="str">
        <f t="shared" si="3"/>
        <v>Ja</v>
      </c>
      <c r="G122" s="7">
        <v>1</v>
      </c>
      <c r="H122" s="7" t="s">
        <v>411</v>
      </c>
      <c r="I122" s="7" t="str">
        <f t="shared" si="5"/>
        <v/>
      </c>
    </row>
    <row r="123" spans="2:9" ht="15" customHeight="1" x14ac:dyDescent="0.25">
      <c r="B123" s="3" t="s">
        <v>198</v>
      </c>
      <c r="C123" s="4">
        <v>520</v>
      </c>
      <c r="D123" t="s">
        <v>409</v>
      </c>
      <c r="E123" s="8" t="str">
        <f t="shared" si="4"/>
        <v>70.520</v>
      </c>
      <c r="F123" t="str">
        <f t="shared" si="3"/>
        <v>Ja</v>
      </c>
      <c r="G123" s="7">
        <v>1</v>
      </c>
      <c r="H123" s="7" t="s">
        <v>411</v>
      </c>
      <c r="I123" s="7" t="str">
        <f t="shared" si="5"/>
        <v/>
      </c>
    </row>
    <row r="124" spans="2:9" ht="15" customHeight="1" x14ac:dyDescent="0.25">
      <c r="B124" s="3" t="s">
        <v>199</v>
      </c>
      <c r="C124" s="4">
        <v>521</v>
      </c>
      <c r="D124" t="s">
        <v>409</v>
      </c>
      <c r="E124" s="8" t="str">
        <f t="shared" si="4"/>
        <v>70.521</v>
      </c>
      <c r="F124" t="str">
        <f t="shared" si="3"/>
        <v>Nee</v>
      </c>
      <c r="G124" s="7">
        <v>0</v>
      </c>
      <c r="H124" s="7" t="s">
        <v>411</v>
      </c>
      <c r="I124" s="7" t="str">
        <f t="shared" si="5"/>
        <v/>
      </c>
    </row>
    <row r="125" spans="2:9" ht="15" customHeight="1" x14ac:dyDescent="0.25">
      <c r="B125" s="3" t="s">
        <v>200</v>
      </c>
      <c r="C125" s="4">
        <v>522</v>
      </c>
      <c r="D125" t="s">
        <v>409</v>
      </c>
      <c r="E125" s="8" t="str">
        <f t="shared" si="4"/>
        <v>70.522</v>
      </c>
      <c r="F125" t="str">
        <f t="shared" si="3"/>
        <v>Ja</v>
      </c>
      <c r="G125" s="7">
        <v>1</v>
      </c>
      <c r="H125" s="7" t="s">
        <v>411</v>
      </c>
      <c r="I125" s="7" t="str">
        <f t="shared" si="5"/>
        <v/>
      </c>
    </row>
    <row r="126" spans="2:9" ht="15" customHeight="1" x14ac:dyDescent="0.25">
      <c r="B126" s="3" t="s">
        <v>201</v>
      </c>
      <c r="C126" s="4">
        <v>523</v>
      </c>
      <c r="D126" t="s">
        <v>409</v>
      </c>
      <c r="E126" s="8" t="str">
        <f t="shared" si="4"/>
        <v>70.523</v>
      </c>
      <c r="F126" t="str">
        <f t="shared" si="3"/>
        <v>Nee</v>
      </c>
      <c r="G126" s="7">
        <v>0</v>
      </c>
      <c r="H126" s="7" t="s">
        <v>411</v>
      </c>
      <c r="I126" s="7" t="str">
        <f t="shared" si="5"/>
        <v/>
      </c>
    </row>
    <row r="127" spans="2:9" ht="15" customHeight="1" x14ac:dyDescent="0.25">
      <c r="B127" s="3" t="s">
        <v>202</v>
      </c>
      <c r="C127" s="4">
        <v>524</v>
      </c>
      <c r="D127" t="s">
        <v>409</v>
      </c>
      <c r="E127" s="8" t="str">
        <f t="shared" si="4"/>
        <v>70.524</v>
      </c>
      <c r="F127" t="str">
        <f t="shared" si="3"/>
        <v>Nee</v>
      </c>
      <c r="G127" s="7">
        <v>0</v>
      </c>
      <c r="H127" s="7" t="s">
        <v>411</v>
      </c>
      <c r="I127" s="7" t="str">
        <f t="shared" si="5"/>
        <v/>
      </c>
    </row>
    <row r="128" spans="2:9" ht="15" customHeight="1" x14ac:dyDescent="0.25">
      <c r="B128" s="3" t="s">
        <v>203</v>
      </c>
      <c r="C128" s="4">
        <v>540</v>
      </c>
      <c r="D128" t="s">
        <v>409</v>
      </c>
      <c r="E128" s="8" t="str">
        <f t="shared" si="4"/>
        <v>70.540</v>
      </c>
      <c r="F128" t="str">
        <f t="shared" si="3"/>
        <v>Nee</v>
      </c>
      <c r="G128" s="7">
        <v>0</v>
      </c>
      <c r="H128" s="7" t="s">
        <v>411</v>
      </c>
      <c r="I128" s="7" t="str">
        <f t="shared" si="5"/>
        <v/>
      </c>
    </row>
    <row r="129" spans="2:9" ht="15" customHeight="1" x14ac:dyDescent="0.25">
      <c r="B129" s="3" t="s">
        <v>204</v>
      </c>
      <c r="C129" s="4">
        <v>596</v>
      </c>
      <c r="D129" t="s">
        <v>409</v>
      </c>
      <c r="E129" s="8" t="str">
        <f t="shared" si="4"/>
        <v>70.596</v>
      </c>
      <c r="F129" t="str">
        <f t="shared" si="3"/>
        <v>Nee</v>
      </c>
      <c r="G129" s="7">
        <v>0</v>
      </c>
      <c r="H129" s="7" t="s">
        <v>411</v>
      </c>
      <c r="I129" s="7" t="str">
        <f t="shared" si="5"/>
        <v/>
      </c>
    </row>
    <row r="130" spans="2:9" ht="15" customHeight="1" x14ac:dyDescent="0.25">
      <c r="B130" s="3" t="s">
        <v>205</v>
      </c>
      <c r="C130" s="4">
        <v>597</v>
      </c>
      <c r="D130" t="s">
        <v>409</v>
      </c>
      <c r="E130" s="8" t="str">
        <f t="shared" si="4"/>
        <v>70.597</v>
      </c>
      <c r="F130" t="str">
        <f t="shared" si="3"/>
        <v>Nee</v>
      </c>
      <c r="G130" s="7">
        <v>0</v>
      </c>
      <c r="H130" s="7" t="s">
        <v>411</v>
      </c>
      <c r="I130" s="7" t="str">
        <f t="shared" si="5"/>
        <v/>
      </c>
    </row>
    <row r="131" spans="2:9" ht="15" customHeight="1" x14ac:dyDescent="0.25">
      <c r="B131" s="3" t="s">
        <v>206</v>
      </c>
      <c r="C131" s="4">
        <v>598</v>
      </c>
      <c r="D131" t="s">
        <v>409</v>
      </c>
      <c r="E131" s="8" t="str">
        <f t="shared" si="4"/>
        <v>70.598</v>
      </c>
      <c r="F131" t="str">
        <f t="shared" si="3"/>
        <v>Nee</v>
      </c>
      <c r="G131" s="7">
        <v>0</v>
      </c>
      <c r="H131" s="7" t="s">
        <v>411</v>
      </c>
      <c r="I131" s="7" t="str">
        <f t="shared" si="5"/>
        <v/>
      </c>
    </row>
    <row r="132" spans="2:9" ht="15" customHeight="1" x14ac:dyDescent="0.25">
      <c r="B132" s="3" t="s">
        <v>207</v>
      </c>
      <c r="C132" s="4">
        <v>599</v>
      </c>
      <c r="D132" t="s">
        <v>409</v>
      </c>
      <c r="E132" s="8" t="str">
        <f t="shared" si="4"/>
        <v>70.599</v>
      </c>
      <c r="F132" t="str">
        <f t="shared" si="3"/>
        <v>Nee</v>
      </c>
      <c r="G132" s="7">
        <v>0</v>
      </c>
      <c r="H132" s="7" t="s">
        <v>411</v>
      </c>
      <c r="I132" s="7" t="str">
        <f t="shared" si="5"/>
        <v/>
      </c>
    </row>
    <row r="133" spans="2:9" ht="15" customHeight="1" x14ac:dyDescent="0.25">
      <c r="B133" s="3" t="s">
        <v>208</v>
      </c>
      <c r="C133" s="4">
        <v>730</v>
      </c>
      <c r="D133" t="s">
        <v>409</v>
      </c>
      <c r="E133" s="8" t="str">
        <f t="shared" si="4"/>
        <v>70.730</v>
      </c>
      <c r="F133" t="str">
        <f t="shared" si="3"/>
        <v>Nee</v>
      </c>
      <c r="G133" s="7">
        <v>0</v>
      </c>
      <c r="H133" s="7" t="s">
        <v>411</v>
      </c>
      <c r="I133" s="7" t="str">
        <f t="shared" si="5"/>
        <v/>
      </c>
    </row>
    <row r="134" spans="2:9" ht="15" customHeight="1" x14ac:dyDescent="0.25">
      <c r="B134" s="3" t="s">
        <v>209</v>
      </c>
      <c r="C134" s="4">
        <v>733</v>
      </c>
      <c r="D134" t="s">
        <v>409</v>
      </c>
      <c r="E134" s="8" t="str">
        <f t="shared" si="4"/>
        <v>70.733</v>
      </c>
      <c r="F134" t="str">
        <f t="shared" si="3"/>
        <v>Nee</v>
      </c>
      <c r="G134" s="7">
        <v>0</v>
      </c>
      <c r="H134" s="7" t="s">
        <v>411</v>
      </c>
      <c r="I134" s="7" t="str">
        <f t="shared" si="5"/>
        <v/>
      </c>
    </row>
    <row r="135" spans="2:9" ht="15" customHeight="1" x14ac:dyDescent="0.25">
      <c r="B135" s="3" t="s">
        <v>210</v>
      </c>
      <c r="C135" s="4">
        <v>735</v>
      </c>
      <c r="D135" t="s">
        <v>409</v>
      </c>
      <c r="E135" s="8" t="str">
        <f t="shared" si="4"/>
        <v>70.735</v>
      </c>
      <c r="F135" t="str">
        <f t="shared" si="3"/>
        <v>Nee</v>
      </c>
      <c r="G135" s="7">
        <v>0</v>
      </c>
      <c r="H135" s="7" t="s">
        <v>411</v>
      </c>
      <c r="I135" s="7" t="str">
        <f t="shared" si="5"/>
        <v/>
      </c>
    </row>
    <row r="136" spans="2:9" ht="15" customHeight="1" x14ac:dyDescent="0.25">
      <c r="B136" s="3" t="s">
        <v>211</v>
      </c>
      <c r="C136" s="4">
        <v>736</v>
      </c>
      <c r="D136" t="s">
        <v>409</v>
      </c>
      <c r="E136" s="8" t="str">
        <f t="shared" si="4"/>
        <v>70.736</v>
      </c>
      <c r="F136" t="str">
        <f t="shared" ref="F136:F199" si="6">IF(G136="","",IF(G136&gt;0,"Ja","Nee"))</f>
        <v>Nee</v>
      </c>
      <c r="G136" s="7">
        <v>0</v>
      </c>
      <c r="H136" s="7" t="s">
        <v>411</v>
      </c>
      <c r="I136" s="7" t="str">
        <f t="shared" si="5"/>
        <v/>
      </c>
    </row>
    <row r="137" spans="2:9" ht="15" customHeight="1" x14ac:dyDescent="0.25">
      <c r="B137" s="3" t="s">
        <v>212</v>
      </c>
      <c r="C137" s="4">
        <v>737</v>
      </c>
      <c r="D137" t="s">
        <v>409</v>
      </c>
      <c r="E137" s="8" t="str">
        <f t="shared" ref="E137:E200" si="7">IF(D137="Model Air","71."&amp;C137,IF(D137="Model Color","70."&amp;C137,IF(D137="Metal Color","77."&amp;C137,IF(D137="Primer 200ml","74."&amp;C137,IF(D137="Primer 60ml","73."&amp;C137,IF(D137="Primer 17ml","70."&amp;C137,IF(D137="Enamel Revell","REV-"&amp;VALUE(C137),"")))))))</f>
        <v>70.737</v>
      </c>
      <c r="F137" t="str">
        <f t="shared" si="6"/>
        <v>Nee</v>
      </c>
      <c r="G137" s="7">
        <v>0</v>
      </c>
      <c r="H137" s="7" t="s">
        <v>411</v>
      </c>
      <c r="I137" s="7" t="str">
        <f t="shared" ref="I137:I200" si="8">IF(H137="Ja",IF(J137="",1,J137),"")</f>
        <v/>
      </c>
    </row>
    <row r="138" spans="2:9" ht="15" customHeight="1" x14ac:dyDescent="0.25">
      <c r="B138" s="3" t="s">
        <v>213</v>
      </c>
      <c r="C138" s="5">
        <v>800</v>
      </c>
      <c r="D138" t="s">
        <v>409</v>
      </c>
      <c r="E138" s="8" t="str">
        <f t="shared" si="7"/>
        <v>70.800</v>
      </c>
      <c r="F138" t="str">
        <f t="shared" si="6"/>
        <v>Nee</v>
      </c>
      <c r="G138" s="7">
        <v>0</v>
      </c>
      <c r="H138" s="7" t="s">
        <v>411</v>
      </c>
      <c r="I138" s="7" t="str">
        <f t="shared" si="8"/>
        <v/>
      </c>
    </row>
    <row r="139" spans="2:9" ht="15" customHeight="1" x14ac:dyDescent="0.25">
      <c r="B139" s="3" t="s">
        <v>214</v>
      </c>
      <c r="C139" s="5">
        <v>801</v>
      </c>
      <c r="D139" t="s">
        <v>409</v>
      </c>
      <c r="E139" s="8" t="str">
        <f t="shared" si="7"/>
        <v>70.801</v>
      </c>
      <c r="F139" t="str">
        <f t="shared" si="6"/>
        <v>Nee</v>
      </c>
      <c r="G139" s="7">
        <v>0</v>
      </c>
      <c r="H139" s="7" t="s">
        <v>411</v>
      </c>
      <c r="I139" s="7" t="str">
        <f t="shared" si="8"/>
        <v/>
      </c>
    </row>
    <row r="140" spans="2:9" ht="15" customHeight="1" x14ac:dyDescent="0.25">
      <c r="B140" s="3" t="s">
        <v>215</v>
      </c>
      <c r="C140" s="5">
        <v>802</v>
      </c>
      <c r="D140" t="s">
        <v>409</v>
      </c>
      <c r="E140" s="8" t="str">
        <f t="shared" si="7"/>
        <v>70.802</v>
      </c>
      <c r="F140" t="str">
        <f t="shared" si="6"/>
        <v>Nee</v>
      </c>
      <c r="G140" s="7">
        <v>0</v>
      </c>
      <c r="H140" s="7" t="s">
        <v>411</v>
      </c>
      <c r="I140" s="7" t="str">
        <f t="shared" si="8"/>
        <v/>
      </c>
    </row>
    <row r="141" spans="2:9" ht="15" customHeight="1" x14ac:dyDescent="0.25">
      <c r="B141" s="3" t="s">
        <v>216</v>
      </c>
      <c r="C141" s="5">
        <v>803</v>
      </c>
      <c r="D141" t="s">
        <v>409</v>
      </c>
      <c r="E141" s="8" t="str">
        <f t="shared" si="7"/>
        <v>70.803</v>
      </c>
      <c r="F141" t="str">
        <f t="shared" si="6"/>
        <v>Nee</v>
      </c>
      <c r="G141" s="7">
        <v>0</v>
      </c>
      <c r="H141" s="7" t="s">
        <v>411</v>
      </c>
      <c r="I141" s="7" t="str">
        <f t="shared" si="8"/>
        <v/>
      </c>
    </row>
    <row r="142" spans="2:9" ht="15" customHeight="1" x14ac:dyDescent="0.25">
      <c r="B142" s="3" t="s">
        <v>217</v>
      </c>
      <c r="C142" s="5">
        <v>804</v>
      </c>
      <c r="D142" t="s">
        <v>409</v>
      </c>
      <c r="E142" s="8" t="str">
        <f t="shared" si="7"/>
        <v>70.804</v>
      </c>
      <c r="F142" t="str">
        <f t="shared" si="6"/>
        <v>Nee</v>
      </c>
      <c r="G142" s="7">
        <v>0</v>
      </c>
      <c r="H142" s="7" t="s">
        <v>411</v>
      </c>
      <c r="I142" s="7" t="str">
        <f t="shared" si="8"/>
        <v/>
      </c>
    </row>
    <row r="143" spans="2:9" ht="15" customHeight="1" x14ac:dyDescent="0.25">
      <c r="B143" s="3" t="s">
        <v>218</v>
      </c>
      <c r="C143" s="5">
        <v>805</v>
      </c>
      <c r="D143" t="s">
        <v>409</v>
      </c>
      <c r="E143" s="8" t="str">
        <f t="shared" si="7"/>
        <v>70.805</v>
      </c>
      <c r="F143" t="str">
        <f t="shared" si="6"/>
        <v>Nee</v>
      </c>
      <c r="G143" s="7">
        <v>0</v>
      </c>
      <c r="H143" s="7" t="s">
        <v>411</v>
      </c>
      <c r="I143" s="7" t="str">
        <f t="shared" si="8"/>
        <v/>
      </c>
    </row>
    <row r="144" spans="2:9" ht="15" customHeight="1" x14ac:dyDescent="0.25">
      <c r="B144" s="3" t="s">
        <v>219</v>
      </c>
      <c r="C144" s="5">
        <v>806</v>
      </c>
      <c r="D144" t="s">
        <v>409</v>
      </c>
      <c r="E144" s="8" t="str">
        <f t="shared" si="7"/>
        <v>70.806</v>
      </c>
      <c r="F144" t="str">
        <f t="shared" si="6"/>
        <v>Nee</v>
      </c>
      <c r="G144" s="7">
        <v>0</v>
      </c>
      <c r="H144" s="7" t="s">
        <v>411</v>
      </c>
      <c r="I144" s="7" t="str">
        <f t="shared" si="8"/>
        <v/>
      </c>
    </row>
    <row r="145" spans="2:9" ht="15" customHeight="1" x14ac:dyDescent="0.25">
      <c r="B145" s="3" t="s">
        <v>220</v>
      </c>
      <c r="C145" s="5">
        <v>807</v>
      </c>
      <c r="D145" t="s">
        <v>409</v>
      </c>
      <c r="E145" s="8" t="str">
        <f t="shared" si="7"/>
        <v>70.807</v>
      </c>
      <c r="F145" t="str">
        <f t="shared" si="6"/>
        <v>Nee</v>
      </c>
      <c r="G145" s="7">
        <v>0</v>
      </c>
      <c r="H145" s="7" t="s">
        <v>411</v>
      </c>
      <c r="I145" s="7" t="str">
        <f t="shared" si="8"/>
        <v/>
      </c>
    </row>
    <row r="146" spans="2:9" ht="15" customHeight="1" x14ac:dyDescent="0.25">
      <c r="B146" s="3" t="s">
        <v>221</v>
      </c>
      <c r="C146" s="5">
        <v>808</v>
      </c>
      <c r="D146" t="s">
        <v>409</v>
      </c>
      <c r="E146" s="8" t="str">
        <f t="shared" si="7"/>
        <v>70.808</v>
      </c>
      <c r="F146" t="str">
        <f t="shared" si="6"/>
        <v>Nee</v>
      </c>
      <c r="G146" s="7">
        <v>0</v>
      </c>
      <c r="H146" s="7" t="s">
        <v>411</v>
      </c>
      <c r="I146" s="7" t="str">
        <f t="shared" si="8"/>
        <v/>
      </c>
    </row>
    <row r="147" spans="2:9" ht="15" customHeight="1" x14ac:dyDescent="0.25">
      <c r="B147" s="3" t="s">
        <v>222</v>
      </c>
      <c r="C147" s="5">
        <v>809</v>
      </c>
      <c r="D147" t="s">
        <v>409</v>
      </c>
      <c r="E147" s="8" t="str">
        <f t="shared" si="7"/>
        <v>70.809</v>
      </c>
      <c r="F147" t="str">
        <f t="shared" si="6"/>
        <v>Nee</v>
      </c>
      <c r="G147" s="7">
        <v>0</v>
      </c>
      <c r="H147" s="7" t="s">
        <v>411</v>
      </c>
      <c r="I147" s="7" t="str">
        <f t="shared" si="8"/>
        <v/>
      </c>
    </row>
    <row r="148" spans="2:9" ht="15" customHeight="1" x14ac:dyDescent="0.25">
      <c r="B148" s="3" t="s">
        <v>223</v>
      </c>
      <c r="C148" s="5">
        <v>810</v>
      </c>
      <c r="D148" t="s">
        <v>409</v>
      </c>
      <c r="E148" s="8" t="str">
        <f t="shared" si="7"/>
        <v>70.810</v>
      </c>
      <c r="F148" t="str">
        <f t="shared" si="6"/>
        <v>Nee</v>
      </c>
      <c r="G148" s="7">
        <v>0</v>
      </c>
      <c r="H148" s="7" t="s">
        <v>411</v>
      </c>
      <c r="I148" s="7" t="str">
        <f t="shared" si="8"/>
        <v/>
      </c>
    </row>
    <row r="149" spans="2:9" ht="15" customHeight="1" x14ac:dyDescent="0.25">
      <c r="B149" s="3" t="s">
        <v>224</v>
      </c>
      <c r="C149" s="5">
        <v>811</v>
      </c>
      <c r="D149" t="s">
        <v>409</v>
      </c>
      <c r="E149" s="8" t="str">
        <f t="shared" si="7"/>
        <v>70.811</v>
      </c>
      <c r="F149" t="str">
        <f t="shared" si="6"/>
        <v>Nee</v>
      </c>
      <c r="G149" s="7">
        <v>0</v>
      </c>
      <c r="H149" s="7" t="s">
        <v>411</v>
      </c>
      <c r="I149" s="7" t="str">
        <f t="shared" si="8"/>
        <v/>
      </c>
    </row>
    <row r="150" spans="2:9" ht="15" customHeight="1" x14ac:dyDescent="0.25">
      <c r="B150" s="3" t="s">
        <v>225</v>
      </c>
      <c r="C150" s="5">
        <v>812</v>
      </c>
      <c r="D150" t="s">
        <v>409</v>
      </c>
      <c r="E150" s="8" t="str">
        <f t="shared" si="7"/>
        <v>70.812</v>
      </c>
      <c r="F150" t="str">
        <f t="shared" si="6"/>
        <v>Nee</v>
      </c>
      <c r="G150" s="7">
        <v>0</v>
      </c>
      <c r="H150" s="7" t="s">
        <v>411</v>
      </c>
      <c r="I150" s="7" t="str">
        <f t="shared" si="8"/>
        <v/>
      </c>
    </row>
    <row r="151" spans="2:9" ht="15" customHeight="1" x14ac:dyDescent="0.25">
      <c r="B151" s="3" t="s">
        <v>226</v>
      </c>
      <c r="C151" s="5">
        <v>814</v>
      </c>
      <c r="D151" t="s">
        <v>409</v>
      </c>
      <c r="E151" s="8" t="str">
        <f t="shared" si="7"/>
        <v>70.814</v>
      </c>
      <c r="F151" t="str">
        <f t="shared" si="6"/>
        <v>Nee</v>
      </c>
      <c r="G151" s="7">
        <v>0</v>
      </c>
      <c r="H151" s="7" t="s">
        <v>411</v>
      </c>
      <c r="I151" s="7" t="str">
        <f t="shared" si="8"/>
        <v/>
      </c>
    </row>
    <row r="152" spans="2:9" ht="15" customHeight="1" x14ac:dyDescent="0.25">
      <c r="B152" s="3" t="s">
        <v>227</v>
      </c>
      <c r="C152" s="5">
        <v>815</v>
      </c>
      <c r="D152" t="s">
        <v>409</v>
      </c>
      <c r="E152" s="8" t="str">
        <f t="shared" si="7"/>
        <v>70.815</v>
      </c>
      <c r="F152" t="str">
        <f t="shared" si="6"/>
        <v>Nee</v>
      </c>
      <c r="G152" s="7">
        <v>0</v>
      </c>
      <c r="H152" s="7" t="s">
        <v>411</v>
      </c>
      <c r="I152" s="7" t="str">
        <f t="shared" si="8"/>
        <v/>
      </c>
    </row>
    <row r="153" spans="2:9" ht="15" customHeight="1" x14ac:dyDescent="0.25">
      <c r="B153" s="3" t="s">
        <v>228</v>
      </c>
      <c r="C153" s="5">
        <v>816</v>
      </c>
      <c r="D153" t="s">
        <v>409</v>
      </c>
      <c r="E153" s="8" t="str">
        <f t="shared" si="7"/>
        <v>70.816</v>
      </c>
      <c r="F153" t="str">
        <f t="shared" si="6"/>
        <v>Nee</v>
      </c>
      <c r="G153" s="7">
        <v>0</v>
      </c>
      <c r="H153" s="7" t="s">
        <v>411</v>
      </c>
      <c r="I153" s="7" t="str">
        <f t="shared" si="8"/>
        <v/>
      </c>
    </row>
    <row r="154" spans="2:9" ht="15" customHeight="1" x14ac:dyDescent="0.25">
      <c r="B154" s="3" t="s">
        <v>229</v>
      </c>
      <c r="C154" s="5">
        <v>817</v>
      </c>
      <c r="D154" t="s">
        <v>409</v>
      </c>
      <c r="E154" s="8" t="str">
        <f t="shared" si="7"/>
        <v>70.817</v>
      </c>
      <c r="F154" t="str">
        <f t="shared" si="6"/>
        <v>Nee</v>
      </c>
      <c r="G154" s="7">
        <v>0</v>
      </c>
      <c r="H154" s="7" t="s">
        <v>411</v>
      </c>
      <c r="I154" s="7" t="str">
        <f t="shared" si="8"/>
        <v/>
      </c>
    </row>
    <row r="155" spans="2:9" ht="15" customHeight="1" x14ac:dyDescent="0.25">
      <c r="B155" s="3" t="s">
        <v>230</v>
      </c>
      <c r="C155" s="5">
        <v>818</v>
      </c>
      <c r="D155" t="s">
        <v>409</v>
      </c>
      <c r="E155" s="8" t="str">
        <f t="shared" si="7"/>
        <v>70.818</v>
      </c>
      <c r="F155" t="str">
        <f t="shared" si="6"/>
        <v>Nee</v>
      </c>
      <c r="G155" s="7">
        <v>0</v>
      </c>
      <c r="H155" s="7" t="s">
        <v>411</v>
      </c>
      <c r="I155" s="7" t="str">
        <f t="shared" si="8"/>
        <v/>
      </c>
    </row>
    <row r="156" spans="2:9" ht="15" customHeight="1" x14ac:dyDescent="0.25">
      <c r="B156" s="3" t="s">
        <v>231</v>
      </c>
      <c r="C156" s="5">
        <v>819</v>
      </c>
      <c r="D156" t="s">
        <v>409</v>
      </c>
      <c r="E156" s="8" t="str">
        <f t="shared" si="7"/>
        <v>70.819</v>
      </c>
      <c r="F156" t="str">
        <f t="shared" si="6"/>
        <v>Nee</v>
      </c>
      <c r="G156" s="7">
        <v>0</v>
      </c>
      <c r="H156" s="7" t="s">
        <v>411</v>
      </c>
      <c r="I156" s="7" t="str">
        <f t="shared" si="8"/>
        <v/>
      </c>
    </row>
    <row r="157" spans="2:9" ht="15" customHeight="1" x14ac:dyDescent="0.25">
      <c r="B157" s="3" t="s">
        <v>232</v>
      </c>
      <c r="C157" s="5">
        <v>820</v>
      </c>
      <c r="D157" t="s">
        <v>409</v>
      </c>
      <c r="E157" s="8" t="str">
        <f t="shared" si="7"/>
        <v>70.820</v>
      </c>
      <c r="F157" t="str">
        <f t="shared" si="6"/>
        <v>Nee</v>
      </c>
      <c r="G157" s="7">
        <v>0</v>
      </c>
      <c r="H157" s="7" t="s">
        <v>411</v>
      </c>
      <c r="I157" s="7" t="str">
        <f t="shared" si="8"/>
        <v/>
      </c>
    </row>
    <row r="158" spans="2:9" ht="15" customHeight="1" x14ac:dyDescent="0.25">
      <c r="B158" s="3" t="s">
        <v>233</v>
      </c>
      <c r="C158" s="5">
        <v>821</v>
      </c>
      <c r="D158" t="s">
        <v>409</v>
      </c>
      <c r="E158" s="8" t="str">
        <f t="shared" si="7"/>
        <v>70.821</v>
      </c>
      <c r="F158" t="str">
        <f t="shared" si="6"/>
        <v>Nee</v>
      </c>
      <c r="G158" s="7">
        <v>0</v>
      </c>
      <c r="H158" s="7" t="s">
        <v>411</v>
      </c>
      <c r="I158" s="7" t="str">
        <f t="shared" si="8"/>
        <v/>
      </c>
    </row>
    <row r="159" spans="2:9" ht="15" customHeight="1" x14ac:dyDescent="0.25">
      <c r="B159" s="3" t="s">
        <v>234</v>
      </c>
      <c r="C159" s="5">
        <v>822</v>
      </c>
      <c r="D159" t="s">
        <v>409</v>
      </c>
      <c r="E159" s="8" t="str">
        <f t="shared" si="7"/>
        <v>70.822</v>
      </c>
      <c r="F159" t="str">
        <f t="shared" si="6"/>
        <v>Nee</v>
      </c>
      <c r="G159" s="7">
        <v>0</v>
      </c>
      <c r="H159" s="7" t="s">
        <v>411</v>
      </c>
      <c r="I159" s="7" t="str">
        <f t="shared" si="8"/>
        <v/>
      </c>
    </row>
    <row r="160" spans="2:9" ht="15" customHeight="1" x14ac:dyDescent="0.25">
      <c r="B160" s="3" t="s">
        <v>235</v>
      </c>
      <c r="C160" s="5">
        <v>823</v>
      </c>
      <c r="D160" t="s">
        <v>409</v>
      </c>
      <c r="E160" s="8" t="str">
        <f t="shared" si="7"/>
        <v>70.823</v>
      </c>
      <c r="F160" t="str">
        <f t="shared" si="6"/>
        <v>Nee</v>
      </c>
      <c r="G160" s="7">
        <v>0</v>
      </c>
      <c r="H160" s="7" t="s">
        <v>411</v>
      </c>
      <c r="I160" s="7" t="str">
        <f t="shared" si="8"/>
        <v/>
      </c>
    </row>
    <row r="161" spans="2:9" ht="15" customHeight="1" x14ac:dyDescent="0.25">
      <c r="B161" s="3" t="s">
        <v>236</v>
      </c>
      <c r="C161" s="5">
        <v>824</v>
      </c>
      <c r="D161" t="s">
        <v>409</v>
      </c>
      <c r="E161" s="8" t="str">
        <f t="shared" si="7"/>
        <v>70.824</v>
      </c>
      <c r="F161" t="str">
        <f t="shared" si="6"/>
        <v>Nee</v>
      </c>
      <c r="G161" s="7">
        <v>0</v>
      </c>
      <c r="H161" s="7" t="s">
        <v>411</v>
      </c>
      <c r="I161" s="7" t="str">
        <f t="shared" si="8"/>
        <v/>
      </c>
    </row>
    <row r="162" spans="2:9" ht="15" customHeight="1" x14ac:dyDescent="0.25">
      <c r="B162" s="3" t="s">
        <v>237</v>
      </c>
      <c r="C162" s="5">
        <v>825</v>
      </c>
      <c r="D162" t="s">
        <v>409</v>
      </c>
      <c r="E162" s="8" t="str">
        <f t="shared" si="7"/>
        <v>70.825</v>
      </c>
      <c r="F162" t="str">
        <f t="shared" si="6"/>
        <v>Nee</v>
      </c>
      <c r="G162" s="7">
        <v>0</v>
      </c>
      <c r="H162" s="7" t="s">
        <v>411</v>
      </c>
      <c r="I162" s="7" t="str">
        <f t="shared" si="8"/>
        <v/>
      </c>
    </row>
    <row r="163" spans="2:9" ht="15" customHeight="1" x14ac:dyDescent="0.25">
      <c r="B163" s="3" t="s">
        <v>238</v>
      </c>
      <c r="C163" s="5">
        <v>826</v>
      </c>
      <c r="D163" t="s">
        <v>409</v>
      </c>
      <c r="E163" s="8" t="str">
        <f t="shared" si="7"/>
        <v>70.826</v>
      </c>
      <c r="F163" t="str">
        <f t="shared" si="6"/>
        <v>Nee</v>
      </c>
      <c r="G163" s="7">
        <v>0</v>
      </c>
      <c r="H163" s="7" t="s">
        <v>411</v>
      </c>
      <c r="I163" s="7" t="str">
        <f t="shared" si="8"/>
        <v/>
      </c>
    </row>
    <row r="164" spans="2:9" ht="15" customHeight="1" x14ac:dyDescent="0.25">
      <c r="B164" s="3" t="s">
        <v>239</v>
      </c>
      <c r="C164" s="5">
        <v>827</v>
      </c>
      <c r="D164" t="s">
        <v>409</v>
      </c>
      <c r="E164" s="8" t="str">
        <f t="shared" si="7"/>
        <v>70.827</v>
      </c>
      <c r="F164" t="str">
        <f t="shared" si="6"/>
        <v>Nee</v>
      </c>
      <c r="G164" s="7">
        <v>0</v>
      </c>
      <c r="H164" s="7" t="s">
        <v>411</v>
      </c>
      <c r="I164" s="7" t="str">
        <f t="shared" si="8"/>
        <v/>
      </c>
    </row>
    <row r="165" spans="2:9" ht="15" customHeight="1" x14ac:dyDescent="0.25">
      <c r="B165" s="3" t="s">
        <v>240</v>
      </c>
      <c r="C165" s="5">
        <v>828</v>
      </c>
      <c r="D165" t="s">
        <v>409</v>
      </c>
      <c r="E165" s="8" t="str">
        <f t="shared" si="7"/>
        <v>70.828</v>
      </c>
      <c r="F165" t="str">
        <f t="shared" si="6"/>
        <v>Nee</v>
      </c>
      <c r="G165" s="7">
        <v>0</v>
      </c>
      <c r="H165" s="7" t="s">
        <v>411</v>
      </c>
      <c r="I165" s="7" t="str">
        <f t="shared" si="8"/>
        <v/>
      </c>
    </row>
    <row r="166" spans="2:9" ht="15" customHeight="1" x14ac:dyDescent="0.25">
      <c r="B166" s="3" t="s">
        <v>241</v>
      </c>
      <c r="C166" s="5">
        <v>829</v>
      </c>
      <c r="D166" t="s">
        <v>409</v>
      </c>
      <c r="E166" s="8" t="str">
        <f t="shared" si="7"/>
        <v>70.829</v>
      </c>
      <c r="F166" t="str">
        <f t="shared" si="6"/>
        <v>Nee</v>
      </c>
      <c r="G166" s="7">
        <v>0</v>
      </c>
      <c r="H166" s="7" t="s">
        <v>411</v>
      </c>
      <c r="I166" s="7" t="str">
        <f t="shared" si="8"/>
        <v/>
      </c>
    </row>
    <row r="167" spans="2:9" ht="15" customHeight="1" x14ac:dyDescent="0.25">
      <c r="B167" s="3" t="s">
        <v>242</v>
      </c>
      <c r="C167" s="5">
        <v>830</v>
      </c>
      <c r="D167" t="s">
        <v>409</v>
      </c>
      <c r="E167" s="8" t="str">
        <f t="shared" si="7"/>
        <v>70.830</v>
      </c>
      <c r="F167" t="str">
        <f t="shared" si="6"/>
        <v>Nee</v>
      </c>
      <c r="G167" s="7">
        <v>0</v>
      </c>
      <c r="H167" s="7" t="s">
        <v>411</v>
      </c>
      <c r="I167" s="7" t="str">
        <f t="shared" si="8"/>
        <v/>
      </c>
    </row>
    <row r="168" spans="2:9" ht="15" customHeight="1" x14ac:dyDescent="0.25">
      <c r="B168" s="3" t="s">
        <v>243</v>
      </c>
      <c r="C168" s="5">
        <v>831</v>
      </c>
      <c r="D168" t="s">
        <v>409</v>
      </c>
      <c r="E168" s="8" t="str">
        <f t="shared" si="7"/>
        <v>70.831</v>
      </c>
      <c r="F168" t="str">
        <f t="shared" si="6"/>
        <v>Nee</v>
      </c>
      <c r="G168" s="7">
        <v>0</v>
      </c>
      <c r="H168" s="7" t="s">
        <v>411</v>
      </c>
      <c r="I168" s="7" t="str">
        <f t="shared" si="8"/>
        <v/>
      </c>
    </row>
    <row r="169" spans="2:9" ht="15" customHeight="1" x14ac:dyDescent="0.25">
      <c r="B169" s="3" t="s">
        <v>244</v>
      </c>
      <c r="C169" s="5">
        <v>832</v>
      </c>
      <c r="D169" t="s">
        <v>409</v>
      </c>
      <c r="E169" s="8" t="str">
        <f t="shared" si="7"/>
        <v>70.832</v>
      </c>
      <c r="F169" t="str">
        <f t="shared" si="6"/>
        <v>Nee</v>
      </c>
      <c r="G169" s="7">
        <v>0</v>
      </c>
      <c r="H169" s="7" t="s">
        <v>411</v>
      </c>
      <c r="I169" s="7" t="str">
        <f t="shared" si="8"/>
        <v/>
      </c>
    </row>
    <row r="170" spans="2:9" ht="15" customHeight="1" x14ac:dyDescent="0.25">
      <c r="B170" s="3" t="s">
        <v>245</v>
      </c>
      <c r="C170" s="5">
        <v>833</v>
      </c>
      <c r="D170" t="s">
        <v>409</v>
      </c>
      <c r="E170" s="8" t="str">
        <f t="shared" si="7"/>
        <v>70.833</v>
      </c>
      <c r="F170" t="str">
        <f t="shared" si="6"/>
        <v>Nee</v>
      </c>
      <c r="G170" s="7">
        <v>0</v>
      </c>
      <c r="H170" s="7" t="s">
        <v>411</v>
      </c>
      <c r="I170" s="7" t="str">
        <f t="shared" si="8"/>
        <v/>
      </c>
    </row>
    <row r="171" spans="2:9" ht="15" customHeight="1" x14ac:dyDescent="0.25">
      <c r="B171" s="3" t="s">
        <v>246</v>
      </c>
      <c r="C171" s="5">
        <v>834</v>
      </c>
      <c r="D171" t="s">
        <v>409</v>
      </c>
      <c r="E171" s="8" t="str">
        <f t="shared" si="7"/>
        <v>70.834</v>
      </c>
      <c r="F171" t="str">
        <f t="shared" si="6"/>
        <v>Nee</v>
      </c>
      <c r="G171" s="7">
        <v>0</v>
      </c>
      <c r="H171" s="7" t="s">
        <v>411</v>
      </c>
      <c r="I171" s="7" t="str">
        <f t="shared" si="8"/>
        <v/>
      </c>
    </row>
    <row r="172" spans="2:9" ht="15" customHeight="1" x14ac:dyDescent="0.25">
      <c r="B172" s="3" t="s">
        <v>247</v>
      </c>
      <c r="C172" s="5">
        <v>835</v>
      </c>
      <c r="D172" t="s">
        <v>409</v>
      </c>
      <c r="E172" s="8" t="str">
        <f t="shared" si="7"/>
        <v>70.835</v>
      </c>
      <c r="F172" t="str">
        <f t="shared" si="6"/>
        <v>Nee</v>
      </c>
      <c r="G172" s="7">
        <v>0</v>
      </c>
      <c r="H172" s="7" t="s">
        <v>411</v>
      </c>
      <c r="I172" s="7" t="str">
        <f t="shared" si="8"/>
        <v/>
      </c>
    </row>
    <row r="173" spans="2:9" ht="15" customHeight="1" x14ac:dyDescent="0.25">
      <c r="B173" s="3" t="s">
        <v>248</v>
      </c>
      <c r="C173" s="5">
        <v>836</v>
      </c>
      <c r="D173" t="s">
        <v>409</v>
      </c>
      <c r="E173" s="8" t="str">
        <f t="shared" si="7"/>
        <v>70.836</v>
      </c>
      <c r="F173" t="str">
        <f t="shared" si="6"/>
        <v>Nee</v>
      </c>
      <c r="G173" s="7">
        <v>0</v>
      </c>
      <c r="H173" s="7" t="s">
        <v>411</v>
      </c>
      <c r="I173" s="7" t="str">
        <f t="shared" si="8"/>
        <v/>
      </c>
    </row>
    <row r="174" spans="2:9" ht="15" customHeight="1" x14ac:dyDescent="0.25">
      <c r="B174" s="3" t="s">
        <v>249</v>
      </c>
      <c r="C174" s="5">
        <v>837</v>
      </c>
      <c r="D174" t="s">
        <v>409</v>
      </c>
      <c r="E174" s="8" t="str">
        <f t="shared" si="7"/>
        <v>70.837</v>
      </c>
      <c r="F174" t="str">
        <f t="shared" si="6"/>
        <v>Nee</v>
      </c>
      <c r="G174" s="7">
        <v>0</v>
      </c>
      <c r="H174" s="7" t="s">
        <v>411</v>
      </c>
      <c r="I174" s="7" t="str">
        <f t="shared" si="8"/>
        <v/>
      </c>
    </row>
    <row r="175" spans="2:9" ht="15" customHeight="1" x14ac:dyDescent="0.25">
      <c r="B175" s="3" t="s">
        <v>250</v>
      </c>
      <c r="C175" s="5">
        <v>838</v>
      </c>
      <c r="D175" t="s">
        <v>409</v>
      </c>
      <c r="E175" s="8" t="str">
        <f t="shared" si="7"/>
        <v>70.838</v>
      </c>
      <c r="F175" t="str">
        <f t="shared" si="6"/>
        <v>Nee</v>
      </c>
      <c r="G175" s="7">
        <v>0</v>
      </c>
      <c r="H175" s="7" t="s">
        <v>411</v>
      </c>
      <c r="I175" s="7" t="str">
        <f t="shared" si="8"/>
        <v/>
      </c>
    </row>
    <row r="176" spans="2:9" ht="15" customHeight="1" x14ac:dyDescent="0.25">
      <c r="B176" s="3" t="s">
        <v>251</v>
      </c>
      <c r="C176" s="5">
        <v>839</v>
      </c>
      <c r="D176" t="s">
        <v>409</v>
      </c>
      <c r="E176" s="8" t="str">
        <f t="shared" si="7"/>
        <v>70.839</v>
      </c>
      <c r="F176" t="str">
        <f t="shared" si="6"/>
        <v>Nee</v>
      </c>
      <c r="G176" s="7">
        <v>0</v>
      </c>
      <c r="H176" s="7" t="s">
        <v>411</v>
      </c>
      <c r="I176" s="7" t="str">
        <f t="shared" si="8"/>
        <v/>
      </c>
    </row>
    <row r="177" spans="2:9" ht="15" customHeight="1" x14ac:dyDescent="0.25">
      <c r="B177" s="3" t="s">
        <v>252</v>
      </c>
      <c r="C177" s="5">
        <v>840</v>
      </c>
      <c r="D177" t="s">
        <v>409</v>
      </c>
      <c r="E177" s="8" t="str">
        <f t="shared" si="7"/>
        <v>70.840</v>
      </c>
      <c r="F177" t="str">
        <f t="shared" si="6"/>
        <v>Nee</v>
      </c>
      <c r="G177" s="7">
        <v>0</v>
      </c>
      <c r="H177" s="7" t="s">
        <v>411</v>
      </c>
      <c r="I177" s="7" t="str">
        <f t="shared" si="8"/>
        <v/>
      </c>
    </row>
    <row r="178" spans="2:9" ht="15" customHeight="1" x14ac:dyDescent="0.25">
      <c r="B178" s="3" t="s">
        <v>253</v>
      </c>
      <c r="C178" s="5">
        <v>841</v>
      </c>
      <c r="D178" t="s">
        <v>409</v>
      </c>
      <c r="E178" s="8" t="str">
        <f t="shared" si="7"/>
        <v>70.841</v>
      </c>
      <c r="F178" t="str">
        <f t="shared" si="6"/>
        <v>Nee</v>
      </c>
      <c r="G178" s="7">
        <v>0</v>
      </c>
      <c r="H178" s="7" t="s">
        <v>411</v>
      </c>
      <c r="I178" s="7" t="str">
        <f t="shared" si="8"/>
        <v/>
      </c>
    </row>
    <row r="179" spans="2:9" ht="15" customHeight="1" x14ac:dyDescent="0.25">
      <c r="B179" s="3" t="s">
        <v>254</v>
      </c>
      <c r="C179" s="5">
        <v>842</v>
      </c>
      <c r="D179" t="s">
        <v>409</v>
      </c>
      <c r="E179" s="8" t="str">
        <f t="shared" si="7"/>
        <v>70.842</v>
      </c>
      <c r="F179" t="str">
        <f t="shared" si="6"/>
        <v>Nee</v>
      </c>
      <c r="G179" s="7">
        <v>0</v>
      </c>
      <c r="H179" s="7" t="s">
        <v>411</v>
      </c>
      <c r="I179" s="7" t="str">
        <f t="shared" si="8"/>
        <v/>
      </c>
    </row>
    <row r="180" spans="2:9" ht="15" customHeight="1" x14ac:dyDescent="0.25">
      <c r="B180" s="3" t="s">
        <v>255</v>
      </c>
      <c r="C180" s="5">
        <v>843</v>
      </c>
      <c r="D180" t="s">
        <v>409</v>
      </c>
      <c r="E180" s="8" t="str">
        <f t="shared" si="7"/>
        <v>70.843</v>
      </c>
      <c r="F180" t="str">
        <f t="shared" si="6"/>
        <v>Nee</v>
      </c>
      <c r="G180" s="7">
        <v>0</v>
      </c>
      <c r="H180" s="7" t="s">
        <v>411</v>
      </c>
      <c r="I180" s="7" t="str">
        <f t="shared" si="8"/>
        <v/>
      </c>
    </row>
    <row r="181" spans="2:9" ht="15" customHeight="1" x14ac:dyDescent="0.25">
      <c r="B181" s="3" t="s">
        <v>256</v>
      </c>
      <c r="C181" s="5">
        <v>844</v>
      </c>
      <c r="D181" t="s">
        <v>409</v>
      </c>
      <c r="E181" s="8" t="str">
        <f t="shared" si="7"/>
        <v>70.844</v>
      </c>
      <c r="F181" t="str">
        <f t="shared" si="6"/>
        <v>Nee</v>
      </c>
      <c r="G181" s="7">
        <v>0</v>
      </c>
      <c r="H181" s="7" t="s">
        <v>411</v>
      </c>
      <c r="I181" s="7" t="str">
        <f t="shared" si="8"/>
        <v/>
      </c>
    </row>
    <row r="182" spans="2:9" ht="15" customHeight="1" x14ac:dyDescent="0.25">
      <c r="B182" s="3" t="s">
        <v>257</v>
      </c>
      <c r="C182" s="5">
        <v>845</v>
      </c>
      <c r="D182" t="s">
        <v>409</v>
      </c>
      <c r="E182" s="8" t="str">
        <f t="shared" si="7"/>
        <v>70.845</v>
      </c>
      <c r="F182" t="str">
        <f t="shared" si="6"/>
        <v>Nee</v>
      </c>
      <c r="G182" s="7">
        <v>0</v>
      </c>
      <c r="H182" s="7" t="s">
        <v>411</v>
      </c>
      <c r="I182" s="7" t="str">
        <f t="shared" si="8"/>
        <v/>
      </c>
    </row>
    <row r="183" spans="2:9" ht="15" customHeight="1" x14ac:dyDescent="0.25">
      <c r="B183" s="3" t="s">
        <v>258</v>
      </c>
      <c r="C183" s="5">
        <v>846</v>
      </c>
      <c r="D183" t="s">
        <v>409</v>
      </c>
      <c r="E183" s="8" t="str">
        <f t="shared" si="7"/>
        <v>70.846</v>
      </c>
      <c r="F183" t="str">
        <f t="shared" si="6"/>
        <v>Nee</v>
      </c>
      <c r="G183" s="7">
        <v>0</v>
      </c>
      <c r="H183" s="7" t="s">
        <v>411</v>
      </c>
      <c r="I183" s="7" t="str">
        <f t="shared" si="8"/>
        <v/>
      </c>
    </row>
    <row r="184" spans="2:9" ht="15" customHeight="1" x14ac:dyDescent="0.25">
      <c r="B184" s="3" t="s">
        <v>259</v>
      </c>
      <c r="C184" s="5">
        <v>847</v>
      </c>
      <c r="D184" t="s">
        <v>409</v>
      </c>
      <c r="E184" s="8" t="str">
        <f t="shared" si="7"/>
        <v>70.847</v>
      </c>
      <c r="F184" t="str">
        <f t="shared" si="6"/>
        <v>Nee</v>
      </c>
      <c r="G184" s="7">
        <v>0</v>
      </c>
      <c r="H184" s="7" t="s">
        <v>411</v>
      </c>
      <c r="I184" s="7" t="str">
        <f t="shared" si="8"/>
        <v/>
      </c>
    </row>
    <row r="185" spans="2:9" ht="15" customHeight="1" x14ac:dyDescent="0.25">
      <c r="B185" s="3" t="s">
        <v>260</v>
      </c>
      <c r="C185" s="5">
        <v>848</v>
      </c>
      <c r="D185" t="s">
        <v>409</v>
      </c>
      <c r="E185" s="8" t="str">
        <f t="shared" si="7"/>
        <v>70.848</v>
      </c>
      <c r="F185" t="str">
        <f t="shared" si="6"/>
        <v>Nee</v>
      </c>
      <c r="G185" s="7">
        <v>0</v>
      </c>
      <c r="H185" s="7" t="s">
        <v>411</v>
      </c>
      <c r="I185" s="7" t="str">
        <f t="shared" si="8"/>
        <v/>
      </c>
    </row>
    <row r="186" spans="2:9" ht="15" customHeight="1" x14ac:dyDescent="0.25">
      <c r="B186" s="3" t="s">
        <v>260</v>
      </c>
      <c r="C186" s="5">
        <v>849</v>
      </c>
      <c r="D186" t="s">
        <v>409</v>
      </c>
      <c r="E186" s="8" t="str">
        <f t="shared" si="7"/>
        <v>70.849</v>
      </c>
      <c r="F186" t="str">
        <f t="shared" si="6"/>
        <v>Nee</v>
      </c>
      <c r="G186" s="7">
        <v>0</v>
      </c>
      <c r="H186" s="7" t="s">
        <v>411</v>
      </c>
      <c r="I186" s="7" t="str">
        <f t="shared" si="8"/>
        <v/>
      </c>
    </row>
    <row r="187" spans="2:9" ht="15" customHeight="1" x14ac:dyDescent="0.25">
      <c r="B187" s="3" t="s">
        <v>261</v>
      </c>
      <c r="C187" s="5">
        <v>850</v>
      </c>
      <c r="D187" t="s">
        <v>409</v>
      </c>
      <c r="E187" s="8" t="str">
        <f t="shared" si="7"/>
        <v>70.850</v>
      </c>
      <c r="F187" t="str">
        <f t="shared" si="6"/>
        <v>Nee</v>
      </c>
      <c r="G187" s="7">
        <v>0</v>
      </c>
      <c r="H187" s="7" t="s">
        <v>411</v>
      </c>
      <c r="I187" s="7" t="str">
        <f t="shared" si="8"/>
        <v/>
      </c>
    </row>
    <row r="188" spans="2:9" ht="15" customHeight="1" x14ac:dyDescent="0.25">
      <c r="B188" s="3" t="s">
        <v>262</v>
      </c>
      <c r="C188" s="5">
        <v>851</v>
      </c>
      <c r="D188" t="s">
        <v>409</v>
      </c>
      <c r="E188" s="8" t="str">
        <f t="shared" si="7"/>
        <v>70.851</v>
      </c>
      <c r="F188" t="str">
        <f t="shared" si="6"/>
        <v>Nee</v>
      </c>
      <c r="G188" s="7">
        <v>0</v>
      </c>
      <c r="H188" s="7" t="s">
        <v>411</v>
      </c>
      <c r="I188" s="7" t="str">
        <f t="shared" si="8"/>
        <v/>
      </c>
    </row>
    <row r="189" spans="2:9" ht="15" customHeight="1" x14ac:dyDescent="0.25">
      <c r="B189" s="3" t="s">
        <v>263</v>
      </c>
      <c r="C189" s="5">
        <v>853</v>
      </c>
      <c r="D189" t="s">
        <v>409</v>
      </c>
      <c r="E189" s="8" t="str">
        <f t="shared" si="7"/>
        <v>70.853</v>
      </c>
      <c r="F189" t="str">
        <f t="shared" si="6"/>
        <v>Nee</v>
      </c>
      <c r="G189" s="7">
        <v>0</v>
      </c>
      <c r="H189" s="7" t="s">
        <v>411</v>
      </c>
      <c r="I189" s="7" t="str">
        <f t="shared" si="8"/>
        <v/>
      </c>
    </row>
    <row r="190" spans="2:9" ht="15" customHeight="1" x14ac:dyDescent="0.25">
      <c r="B190" s="3" t="s">
        <v>264</v>
      </c>
      <c r="C190" s="5">
        <v>854</v>
      </c>
      <c r="D190" t="s">
        <v>409</v>
      </c>
      <c r="E190" s="8" t="str">
        <f t="shared" si="7"/>
        <v>70.854</v>
      </c>
      <c r="F190" t="str">
        <f t="shared" si="6"/>
        <v>Nee</v>
      </c>
      <c r="G190" s="7">
        <v>0</v>
      </c>
      <c r="H190" s="7" t="s">
        <v>411</v>
      </c>
      <c r="I190" s="7" t="str">
        <f t="shared" si="8"/>
        <v/>
      </c>
    </row>
    <row r="191" spans="2:9" ht="15" customHeight="1" x14ac:dyDescent="0.25">
      <c r="B191" s="3" t="s">
        <v>265</v>
      </c>
      <c r="C191" s="5">
        <v>855</v>
      </c>
      <c r="D191" t="s">
        <v>409</v>
      </c>
      <c r="E191" s="8" t="str">
        <f t="shared" si="7"/>
        <v>70.855</v>
      </c>
      <c r="F191" t="str">
        <f t="shared" si="6"/>
        <v>Nee</v>
      </c>
      <c r="G191" s="7">
        <v>0</v>
      </c>
      <c r="H191" s="7" t="s">
        <v>411</v>
      </c>
      <c r="I191" s="7" t="str">
        <f t="shared" si="8"/>
        <v/>
      </c>
    </row>
    <row r="192" spans="2:9" ht="15" customHeight="1" x14ac:dyDescent="0.25">
      <c r="B192" s="3" t="s">
        <v>266</v>
      </c>
      <c r="C192" s="5">
        <v>856</v>
      </c>
      <c r="D192" t="s">
        <v>409</v>
      </c>
      <c r="E192" s="8" t="str">
        <f t="shared" si="7"/>
        <v>70.856</v>
      </c>
      <c r="F192" t="str">
        <f t="shared" si="6"/>
        <v>Nee</v>
      </c>
      <c r="G192" s="7">
        <v>0</v>
      </c>
      <c r="H192" s="7" t="s">
        <v>411</v>
      </c>
      <c r="I192" s="7" t="str">
        <f t="shared" si="8"/>
        <v/>
      </c>
    </row>
    <row r="193" spans="2:9" ht="15" customHeight="1" x14ac:dyDescent="0.25">
      <c r="B193" s="3" t="s">
        <v>267</v>
      </c>
      <c r="C193" s="5">
        <v>857</v>
      </c>
      <c r="D193" t="s">
        <v>409</v>
      </c>
      <c r="E193" s="8" t="str">
        <f t="shared" si="7"/>
        <v>70.857</v>
      </c>
      <c r="F193" t="str">
        <f t="shared" si="6"/>
        <v>Nee</v>
      </c>
      <c r="G193" s="7">
        <v>0</v>
      </c>
      <c r="H193" s="7" t="s">
        <v>411</v>
      </c>
      <c r="I193" s="7" t="str">
        <f t="shared" si="8"/>
        <v/>
      </c>
    </row>
    <row r="194" spans="2:9" ht="15" customHeight="1" x14ac:dyDescent="0.25">
      <c r="B194" s="3" t="s">
        <v>268</v>
      </c>
      <c r="C194" s="5">
        <v>858</v>
      </c>
      <c r="D194" t="s">
        <v>409</v>
      </c>
      <c r="E194" s="8" t="str">
        <f t="shared" si="7"/>
        <v>70.858</v>
      </c>
      <c r="F194" t="str">
        <f t="shared" si="6"/>
        <v>Nee</v>
      </c>
      <c r="G194" s="7">
        <v>0</v>
      </c>
      <c r="H194" s="7" t="s">
        <v>411</v>
      </c>
      <c r="I194" s="7" t="str">
        <f t="shared" si="8"/>
        <v/>
      </c>
    </row>
    <row r="195" spans="2:9" ht="15" customHeight="1" x14ac:dyDescent="0.25">
      <c r="B195" s="3" t="s">
        <v>269</v>
      </c>
      <c r="C195" s="5">
        <v>859</v>
      </c>
      <c r="D195" t="s">
        <v>409</v>
      </c>
      <c r="E195" s="8" t="str">
        <f t="shared" si="7"/>
        <v>70.859</v>
      </c>
      <c r="F195" t="str">
        <f t="shared" si="6"/>
        <v>Nee</v>
      </c>
      <c r="G195" s="7">
        <v>0</v>
      </c>
      <c r="H195" s="7" t="s">
        <v>411</v>
      </c>
      <c r="I195" s="7" t="str">
        <f t="shared" si="8"/>
        <v/>
      </c>
    </row>
    <row r="196" spans="2:9" ht="15" customHeight="1" x14ac:dyDescent="0.25">
      <c r="B196" s="3" t="s">
        <v>270</v>
      </c>
      <c r="C196" s="5">
        <v>860</v>
      </c>
      <c r="D196" t="s">
        <v>409</v>
      </c>
      <c r="E196" s="8" t="str">
        <f t="shared" si="7"/>
        <v>70.860</v>
      </c>
      <c r="F196" t="str">
        <f t="shared" si="6"/>
        <v>Nee</v>
      </c>
      <c r="G196" s="7">
        <v>0</v>
      </c>
      <c r="H196" s="7" t="s">
        <v>411</v>
      </c>
      <c r="I196" s="7" t="str">
        <f t="shared" si="8"/>
        <v/>
      </c>
    </row>
    <row r="197" spans="2:9" ht="15" customHeight="1" x14ac:dyDescent="0.25">
      <c r="B197" s="3" t="s">
        <v>271</v>
      </c>
      <c r="C197" s="5">
        <v>861</v>
      </c>
      <c r="D197" t="s">
        <v>409</v>
      </c>
      <c r="E197" s="8" t="str">
        <f t="shared" si="7"/>
        <v>70.861</v>
      </c>
      <c r="F197" t="str">
        <f t="shared" si="6"/>
        <v>Nee</v>
      </c>
      <c r="G197" s="7">
        <v>0</v>
      </c>
      <c r="H197" s="7" t="s">
        <v>411</v>
      </c>
      <c r="I197" s="7" t="str">
        <f t="shared" si="8"/>
        <v/>
      </c>
    </row>
    <row r="198" spans="2:9" ht="15" customHeight="1" x14ac:dyDescent="0.25">
      <c r="B198" s="3" t="s">
        <v>272</v>
      </c>
      <c r="C198" s="5">
        <v>862</v>
      </c>
      <c r="D198" t="s">
        <v>409</v>
      </c>
      <c r="E198" s="8" t="str">
        <f t="shared" si="7"/>
        <v>70.862</v>
      </c>
      <c r="F198" t="str">
        <f t="shared" si="6"/>
        <v>Nee</v>
      </c>
      <c r="G198" s="7">
        <v>0</v>
      </c>
      <c r="H198" s="7" t="s">
        <v>411</v>
      </c>
      <c r="I198" s="7" t="str">
        <f t="shared" si="8"/>
        <v/>
      </c>
    </row>
    <row r="199" spans="2:9" ht="15" customHeight="1" x14ac:dyDescent="0.25">
      <c r="B199" s="3" t="s">
        <v>273</v>
      </c>
      <c r="C199" s="5">
        <v>863</v>
      </c>
      <c r="D199" t="s">
        <v>409</v>
      </c>
      <c r="E199" s="8" t="str">
        <f t="shared" si="7"/>
        <v>70.863</v>
      </c>
      <c r="F199" t="str">
        <f t="shared" si="6"/>
        <v>Nee</v>
      </c>
      <c r="G199" s="7">
        <v>0</v>
      </c>
      <c r="H199" s="7" t="s">
        <v>411</v>
      </c>
      <c r="I199" s="7" t="str">
        <f t="shared" si="8"/>
        <v/>
      </c>
    </row>
    <row r="200" spans="2:9" ht="15" customHeight="1" x14ac:dyDescent="0.25">
      <c r="B200" s="3" t="s">
        <v>274</v>
      </c>
      <c r="C200" s="5">
        <v>864</v>
      </c>
      <c r="D200" t="s">
        <v>409</v>
      </c>
      <c r="E200" s="8" t="str">
        <f t="shared" si="7"/>
        <v>70.864</v>
      </c>
      <c r="F200" t="str">
        <f t="shared" ref="F200:F263" si="9">IF(G200="","",IF(G200&gt;0,"Ja","Nee"))</f>
        <v>Nee</v>
      </c>
      <c r="G200" s="7">
        <v>0</v>
      </c>
      <c r="H200" s="7" t="s">
        <v>411</v>
      </c>
      <c r="I200" s="7" t="str">
        <f t="shared" si="8"/>
        <v/>
      </c>
    </row>
    <row r="201" spans="2:9" ht="15" customHeight="1" x14ac:dyDescent="0.25">
      <c r="B201" s="3" t="s">
        <v>275</v>
      </c>
      <c r="C201" s="5">
        <v>865</v>
      </c>
      <c r="D201" t="s">
        <v>409</v>
      </c>
      <c r="E201" s="8" t="str">
        <f t="shared" ref="E201:E264" si="10">IF(D201="Model Air","71."&amp;C201,IF(D201="Model Color","70."&amp;C201,IF(D201="Metal Color","77."&amp;C201,IF(D201="Primer 200ml","74."&amp;C201,IF(D201="Primer 60ml","73."&amp;C201,IF(D201="Primer 17ml","70."&amp;C201,IF(D201="Enamel Revell","REV-"&amp;VALUE(C201),"")))))))</f>
        <v>70.865</v>
      </c>
      <c r="F201" t="str">
        <f t="shared" si="9"/>
        <v>Nee</v>
      </c>
      <c r="G201" s="7">
        <v>0</v>
      </c>
      <c r="H201" s="7" t="s">
        <v>411</v>
      </c>
      <c r="I201" s="7" t="str">
        <f t="shared" ref="I201:I264" si="11">IF(H201="Ja",IF(J201="",1,J201),"")</f>
        <v/>
      </c>
    </row>
    <row r="202" spans="2:9" ht="15" customHeight="1" x14ac:dyDescent="0.25">
      <c r="B202" s="3" t="s">
        <v>276</v>
      </c>
      <c r="C202" s="5">
        <v>866</v>
      </c>
      <c r="D202" t="s">
        <v>409</v>
      </c>
      <c r="E202" s="8" t="str">
        <f t="shared" si="10"/>
        <v>70.866</v>
      </c>
      <c r="F202" t="str">
        <f t="shared" si="9"/>
        <v>Nee</v>
      </c>
      <c r="G202" s="7">
        <v>0</v>
      </c>
      <c r="H202" s="7" t="s">
        <v>411</v>
      </c>
      <c r="I202" s="7" t="str">
        <f t="shared" si="11"/>
        <v/>
      </c>
    </row>
    <row r="203" spans="2:9" ht="15" customHeight="1" x14ac:dyDescent="0.25">
      <c r="B203" s="3" t="s">
        <v>277</v>
      </c>
      <c r="C203" s="5">
        <v>867</v>
      </c>
      <c r="D203" t="s">
        <v>409</v>
      </c>
      <c r="E203" s="8" t="str">
        <f t="shared" si="10"/>
        <v>70.867</v>
      </c>
      <c r="F203" t="str">
        <f t="shared" si="9"/>
        <v>Nee</v>
      </c>
      <c r="G203" s="7">
        <v>0</v>
      </c>
      <c r="H203" s="7" t="s">
        <v>411</v>
      </c>
      <c r="I203" s="7" t="str">
        <f t="shared" si="11"/>
        <v/>
      </c>
    </row>
    <row r="204" spans="2:9" ht="15" customHeight="1" x14ac:dyDescent="0.25">
      <c r="B204" s="3" t="s">
        <v>278</v>
      </c>
      <c r="C204" s="5">
        <v>868</v>
      </c>
      <c r="D204" t="s">
        <v>409</v>
      </c>
      <c r="E204" s="8" t="str">
        <f t="shared" si="10"/>
        <v>70.868</v>
      </c>
      <c r="F204" t="str">
        <f t="shared" si="9"/>
        <v>Nee</v>
      </c>
      <c r="G204" s="7">
        <v>0</v>
      </c>
      <c r="H204" s="7" t="s">
        <v>411</v>
      </c>
      <c r="I204" s="7" t="str">
        <f t="shared" si="11"/>
        <v/>
      </c>
    </row>
    <row r="205" spans="2:9" ht="15" customHeight="1" x14ac:dyDescent="0.25">
      <c r="B205" s="3" t="s">
        <v>279</v>
      </c>
      <c r="C205" s="5">
        <v>869</v>
      </c>
      <c r="D205" t="s">
        <v>409</v>
      </c>
      <c r="E205" s="8" t="str">
        <f t="shared" si="10"/>
        <v>70.869</v>
      </c>
      <c r="F205" t="str">
        <f t="shared" si="9"/>
        <v>Nee</v>
      </c>
      <c r="G205" s="7">
        <v>0</v>
      </c>
      <c r="H205" s="7" t="s">
        <v>411</v>
      </c>
      <c r="I205" s="7" t="str">
        <f t="shared" si="11"/>
        <v/>
      </c>
    </row>
    <row r="206" spans="2:9" ht="15" customHeight="1" x14ac:dyDescent="0.25">
      <c r="B206" s="3" t="s">
        <v>280</v>
      </c>
      <c r="C206" s="5">
        <v>870</v>
      </c>
      <c r="D206" t="s">
        <v>409</v>
      </c>
      <c r="E206" s="8" t="str">
        <f t="shared" si="10"/>
        <v>70.870</v>
      </c>
      <c r="F206" t="str">
        <f t="shared" si="9"/>
        <v>Nee</v>
      </c>
      <c r="G206" s="7">
        <v>0</v>
      </c>
      <c r="H206" s="7" t="s">
        <v>411</v>
      </c>
      <c r="I206" s="7" t="str">
        <f t="shared" si="11"/>
        <v/>
      </c>
    </row>
    <row r="207" spans="2:9" ht="15" customHeight="1" x14ac:dyDescent="0.25">
      <c r="B207" s="3" t="s">
        <v>281</v>
      </c>
      <c r="C207" s="5">
        <v>871</v>
      </c>
      <c r="D207" t="s">
        <v>409</v>
      </c>
      <c r="E207" s="8" t="str">
        <f t="shared" si="10"/>
        <v>70.871</v>
      </c>
      <c r="F207" t="str">
        <f t="shared" si="9"/>
        <v>Nee</v>
      </c>
      <c r="G207" s="7">
        <v>0</v>
      </c>
      <c r="H207" s="7" t="s">
        <v>411</v>
      </c>
      <c r="I207" s="7" t="str">
        <f t="shared" si="11"/>
        <v/>
      </c>
    </row>
    <row r="208" spans="2:9" ht="15" customHeight="1" x14ac:dyDescent="0.25">
      <c r="B208" s="3" t="s">
        <v>282</v>
      </c>
      <c r="C208" s="5">
        <v>872</v>
      </c>
      <c r="D208" t="s">
        <v>409</v>
      </c>
      <c r="E208" s="8" t="str">
        <f t="shared" si="10"/>
        <v>70.872</v>
      </c>
      <c r="F208" t="str">
        <f t="shared" si="9"/>
        <v>Nee</v>
      </c>
      <c r="G208" s="7">
        <v>0</v>
      </c>
      <c r="H208" s="7" t="s">
        <v>411</v>
      </c>
      <c r="I208" s="7" t="str">
        <f t="shared" si="11"/>
        <v/>
      </c>
    </row>
    <row r="209" spans="2:9" ht="15" customHeight="1" x14ac:dyDescent="0.25">
      <c r="B209" s="3" t="s">
        <v>283</v>
      </c>
      <c r="C209" s="5">
        <v>873</v>
      </c>
      <c r="D209" t="s">
        <v>409</v>
      </c>
      <c r="E209" s="8" t="str">
        <f t="shared" si="10"/>
        <v>70.873</v>
      </c>
      <c r="F209" t="str">
        <f t="shared" si="9"/>
        <v>Nee</v>
      </c>
      <c r="G209" s="7">
        <v>0</v>
      </c>
      <c r="H209" s="7" t="s">
        <v>411</v>
      </c>
      <c r="I209" s="7" t="str">
        <f t="shared" si="11"/>
        <v/>
      </c>
    </row>
    <row r="210" spans="2:9" ht="15" customHeight="1" x14ac:dyDescent="0.25">
      <c r="B210" s="3" t="s">
        <v>284</v>
      </c>
      <c r="C210" s="5">
        <v>874</v>
      </c>
      <c r="D210" t="s">
        <v>409</v>
      </c>
      <c r="E210" s="8" t="str">
        <f t="shared" si="10"/>
        <v>70.874</v>
      </c>
      <c r="F210" t="str">
        <f t="shared" si="9"/>
        <v>Nee</v>
      </c>
      <c r="G210" s="7">
        <v>0</v>
      </c>
      <c r="H210" s="7" t="s">
        <v>411</v>
      </c>
      <c r="I210" s="7" t="str">
        <f t="shared" si="11"/>
        <v/>
      </c>
    </row>
    <row r="211" spans="2:9" ht="15" customHeight="1" x14ac:dyDescent="0.25">
      <c r="B211" s="3" t="s">
        <v>285</v>
      </c>
      <c r="C211" s="5">
        <v>875</v>
      </c>
      <c r="D211" t="s">
        <v>409</v>
      </c>
      <c r="E211" s="8" t="str">
        <f t="shared" si="10"/>
        <v>70.875</v>
      </c>
      <c r="F211" t="str">
        <f t="shared" si="9"/>
        <v>Nee</v>
      </c>
      <c r="G211" s="7">
        <v>0</v>
      </c>
      <c r="H211" s="7" t="s">
        <v>411</v>
      </c>
      <c r="I211" s="7" t="str">
        <f t="shared" si="11"/>
        <v/>
      </c>
    </row>
    <row r="212" spans="2:9" ht="15" customHeight="1" x14ac:dyDescent="0.25">
      <c r="B212" s="3" t="s">
        <v>286</v>
      </c>
      <c r="C212" s="5">
        <v>876</v>
      </c>
      <c r="D212" t="s">
        <v>409</v>
      </c>
      <c r="E212" s="8" t="str">
        <f t="shared" si="10"/>
        <v>70.876</v>
      </c>
      <c r="F212" t="str">
        <f t="shared" si="9"/>
        <v>Nee</v>
      </c>
      <c r="G212" s="7">
        <v>0</v>
      </c>
      <c r="H212" s="7" t="s">
        <v>411</v>
      </c>
      <c r="I212" s="7" t="str">
        <f t="shared" si="11"/>
        <v/>
      </c>
    </row>
    <row r="213" spans="2:9" ht="15" customHeight="1" x14ac:dyDescent="0.25">
      <c r="B213" s="3" t="s">
        <v>287</v>
      </c>
      <c r="C213" s="5">
        <v>877</v>
      </c>
      <c r="D213" t="s">
        <v>409</v>
      </c>
      <c r="E213" s="8" t="str">
        <f t="shared" si="10"/>
        <v>70.877</v>
      </c>
      <c r="F213" t="str">
        <f t="shared" si="9"/>
        <v>Nee</v>
      </c>
      <c r="G213" s="7">
        <v>0</v>
      </c>
      <c r="H213" s="7" t="s">
        <v>411</v>
      </c>
      <c r="I213" s="7" t="str">
        <f t="shared" si="11"/>
        <v/>
      </c>
    </row>
    <row r="214" spans="2:9" ht="15" customHeight="1" x14ac:dyDescent="0.25">
      <c r="B214" s="3" t="s">
        <v>288</v>
      </c>
      <c r="C214" s="5">
        <v>878</v>
      </c>
      <c r="D214" t="s">
        <v>409</v>
      </c>
      <c r="E214" s="8" t="str">
        <f t="shared" si="10"/>
        <v>70.878</v>
      </c>
      <c r="F214" t="str">
        <f t="shared" si="9"/>
        <v>Nee</v>
      </c>
      <c r="G214" s="7">
        <v>0</v>
      </c>
      <c r="H214" s="7" t="s">
        <v>411</v>
      </c>
      <c r="I214" s="7" t="str">
        <f t="shared" si="11"/>
        <v/>
      </c>
    </row>
    <row r="215" spans="2:9" ht="15" customHeight="1" x14ac:dyDescent="0.25">
      <c r="B215" s="3" t="s">
        <v>289</v>
      </c>
      <c r="C215" s="5">
        <v>879</v>
      </c>
      <c r="D215" t="s">
        <v>409</v>
      </c>
      <c r="E215" s="8" t="str">
        <f t="shared" si="10"/>
        <v>70.879</v>
      </c>
      <c r="F215" t="str">
        <f t="shared" si="9"/>
        <v>Nee</v>
      </c>
      <c r="G215" s="7">
        <v>0</v>
      </c>
      <c r="H215" s="7" t="s">
        <v>411</v>
      </c>
      <c r="I215" s="7" t="str">
        <f t="shared" si="11"/>
        <v/>
      </c>
    </row>
    <row r="216" spans="2:9" ht="15" customHeight="1" x14ac:dyDescent="0.25">
      <c r="B216" s="3" t="s">
        <v>290</v>
      </c>
      <c r="C216" s="5">
        <v>880</v>
      </c>
      <c r="D216" t="s">
        <v>409</v>
      </c>
      <c r="E216" s="8" t="str">
        <f t="shared" si="10"/>
        <v>70.880</v>
      </c>
      <c r="F216" t="str">
        <f t="shared" si="9"/>
        <v>Nee</v>
      </c>
      <c r="G216" s="7">
        <v>0</v>
      </c>
      <c r="H216" s="7" t="s">
        <v>411</v>
      </c>
      <c r="I216" s="7" t="str">
        <f t="shared" si="11"/>
        <v/>
      </c>
    </row>
    <row r="217" spans="2:9" ht="15" customHeight="1" x14ac:dyDescent="0.25">
      <c r="B217" s="3" t="s">
        <v>291</v>
      </c>
      <c r="C217" s="5">
        <v>881</v>
      </c>
      <c r="D217" t="s">
        <v>409</v>
      </c>
      <c r="E217" s="8" t="str">
        <f t="shared" si="10"/>
        <v>70.881</v>
      </c>
      <c r="F217" t="str">
        <f t="shared" si="9"/>
        <v>Nee</v>
      </c>
      <c r="G217" s="7">
        <v>0</v>
      </c>
      <c r="H217" s="7" t="s">
        <v>411</v>
      </c>
      <c r="I217" s="7" t="str">
        <f t="shared" si="11"/>
        <v/>
      </c>
    </row>
    <row r="218" spans="2:9" ht="15" customHeight="1" x14ac:dyDescent="0.25">
      <c r="B218" s="3" t="s">
        <v>292</v>
      </c>
      <c r="C218" s="5">
        <v>882</v>
      </c>
      <c r="D218" t="s">
        <v>409</v>
      </c>
      <c r="E218" s="8" t="str">
        <f t="shared" si="10"/>
        <v>70.882</v>
      </c>
      <c r="F218" t="str">
        <f t="shared" si="9"/>
        <v>Nee</v>
      </c>
      <c r="G218" s="7">
        <v>0</v>
      </c>
      <c r="H218" s="7" t="s">
        <v>411</v>
      </c>
      <c r="I218" s="7" t="str">
        <f t="shared" si="11"/>
        <v/>
      </c>
    </row>
    <row r="219" spans="2:9" ht="15" customHeight="1" x14ac:dyDescent="0.25">
      <c r="B219" s="3" t="s">
        <v>293</v>
      </c>
      <c r="C219" s="5">
        <v>883</v>
      </c>
      <c r="D219" t="s">
        <v>409</v>
      </c>
      <c r="E219" s="8" t="str">
        <f t="shared" si="10"/>
        <v>70.883</v>
      </c>
      <c r="F219" t="str">
        <f t="shared" si="9"/>
        <v>Nee</v>
      </c>
      <c r="G219" s="7">
        <v>0</v>
      </c>
      <c r="H219" s="7" t="s">
        <v>411</v>
      </c>
      <c r="I219" s="7" t="str">
        <f t="shared" si="11"/>
        <v/>
      </c>
    </row>
    <row r="220" spans="2:9" ht="15" customHeight="1" x14ac:dyDescent="0.25">
      <c r="B220" s="3" t="s">
        <v>294</v>
      </c>
      <c r="C220" s="5">
        <v>884</v>
      </c>
      <c r="D220" t="s">
        <v>409</v>
      </c>
      <c r="E220" s="8" t="str">
        <f t="shared" si="10"/>
        <v>70.884</v>
      </c>
      <c r="F220" t="str">
        <f t="shared" si="9"/>
        <v>Nee</v>
      </c>
      <c r="G220" s="7">
        <v>0</v>
      </c>
      <c r="H220" s="7" t="s">
        <v>411</v>
      </c>
      <c r="I220" s="7" t="str">
        <f t="shared" si="11"/>
        <v/>
      </c>
    </row>
    <row r="221" spans="2:9" ht="15" customHeight="1" x14ac:dyDescent="0.25">
      <c r="B221" s="3" t="s">
        <v>295</v>
      </c>
      <c r="C221" s="5">
        <v>885</v>
      </c>
      <c r="D221" t="s">
        <v>409</v>
      </c>
      <c r="E221" s="8" t="str">
        <f t="shared" si="10"/>
        <v>70.885</v>
      </c>
      <c r="F221" t="str">
        <f t="shared" si="9"/>
        <v>Nee</v>
      </c>
      <c r="G221" s="7">
        <v>0</v>
      </c>
      <c r="H221" s="7" t="s">
        <v>411</v>
      </c>
      <c r="I221" s="7" t="str">
        <f t="shared" si="11"/>
        <v/>
      </c>
    </row>
    <row r="222" spans="2:9" ht="15" customHeight="1" x14ac:dyDescent="0.25">
      <c r="B222" s="3" t="s">
        <v>296</v>
      </c>
      <c r="C222" s="5">
        <v>886</v>
      </c>
      <c r="D222" t="s">
        <v>409</v>
      </c>
      <c r="E222" s="8" t="str">
        <f t="shared" si="10"/>
        <v>70.886</v>
      </c>
      <c r="F222" t="str">
        <f t="shared" si="9"/>
        <v>Nee</v>
      </c>
      <c r="G222" s="7">
        <v>0</v>
      </c>
      <c r="H222" s="7" t="s">
        <v>411</v>
      </c>
      <c r="I222" s="7" t="str">
        <f t="shared" si="11"/>
        <v/>
      </c>
    </row>
    <row r="223" spans="2:9" ht="15" customHeight="1" x14ac:dyDescent="0.25">
      <c r="B223" s="3" t="s">
        <v>297</v>
      </c>
      <c r="C223" s="5">
        <v>887</v>
      </c>
      <c r="D223" t="s">
        <v>409</v>
      </c>
      <c r="E223" s="8" t="str">
        <f t="shared" si="10"/>
        <v>70.887</v>
      </c>
      <c r="F223" t="str">
        <f t="shared" si="9"/>
        <v>Nee</v>
      </c>
      <c r="G223" s="7">
        <v>0</v>
      </c>
      <c r="H223" s="7" t="s">
        <v>411</v>
      </c>
      <c r="I223" s="7" t="str">
        <f t="shared" si="11"/>
        <v/>
      </c>
    </row>
    <row r="224" spans="2:9" ht="15" customHeight="1" x14ac:dyDescent="0.25">
      <c r="B224" s="3" t="s">
        <v>298</v>
      </c>
      <c r="C224" s="5">
        <v>888</v>
      </c>
      <c r="D224" t="s">
        <v>409</v>
      </c>
      <c r="E224" s="8" t="str">
        <f t="shared" si="10"/>
        <v>70.888</v>
      </c>
      <c r="F224" t="str">
        <f t="shared" si="9"/>
        <v>Nee</v>
      </c>
      <c r="G224" s="7">
        <v>0</v>
      </c>
      <c r="H224" s="7" t="s">
        <v>411</v>
      </c>
      <c r="I224" s="7" t="str">
        <f t="shared" si="11"/>
        <v/>
      </c>
    </row>
    <row r="225" spans="2:9" ht="15" customHeight="1" x14ac:dyDescent="0.25">
      <c r="B225" s="3" t="s">
        <v>299</v>
      </c>
      <c r="C225" s="5">
        <v>889</v>
      </c>
      <c r="D225" t="s">
        <v>409</v>
      </c>
      <c r="E225" s="8" t="str">
        <f t="shared" si="10"/>
        <v>70.889</v>
      </c>
      <c r="F225" t="str">
        <f t="shared" si="9"/>
        <v>Nee</v>
      </c>
      <c r="G225" s="7">
        <v>0</v>
      </c>
      <c r="H225" s="7" t="s">
        <v>411</v>
      </c>
      <c r="I225" s="7" t="str">
        <f t="shared" si="11"/>
        <v/>
      </c>
    </row>
    <row r="226" spans="2:9" ht="15" customHeight="1" x14ac:dyDescent="0.25">
      <c r="B226" s="3" t="s">
        <v>300</v>
      </c>
      <c r="C226" s="5">
        <v>890</v>
      </c>
      <c r="D226" t="s">
        <v>409</v>
      </c>
      <c r="E226" s="8" t="str">
        <f t="shared" si="10"/>
        <v>70.890</v>
      </c>
      <c r="F226" t="str">
        <f t="shared" si="9"/>
        <v>Nee</v>
      </c>
      <c r="G226" s="7">
        <v>0</v>
      </c>
      <c r="H226" s="7" t="s">
        <v>411</v>
      </c>
      <c r="I226" s="7" t="str">
        <f t="shared" si="11"/>
        <v/>
      </c>
    </row>
    <row r="227" spans="2:9" ht="15" customHeight="1" x14ac:dyDescent="0.25">
      <c r="B227" s="3" t="s">
        <v>301</v>
      </c>
      <c r="C227" s="5">
        <v>891</v>
      </c>
      <c r="D227" t="s">
        <v>409</v>
      </c>
      <c r="E227" s="8" t="str">
        <f t="shared" si="10"/>
        <v>70.891</v>
      </c>
      <c r="F227" t="str">
        <f t="shared" si="9"/>
        <v>Nee</v>
      </c>
      <c r="G227" s="7">
        <v>0</v>
      </c>
      <c r="H227" s="7" t="s">
        <v>411</v>
      </c>
      <c r="I227" s="7" t="str">
        <f t="shared" si="11"/>
        <v/>
      </c>
    </row>
    <row r="228" spans="2:9" ht="15" customHeight="1" x14ac:dyDescent="0.25">
      <c r="B228" s="3" t="s">
        <v>302</v>
      </c>
      <c r="C228" s="5">
        <v>892</v>
      </c>
      <c r="D228" t="s">
        <v>409</v>
      </c>
      <c r="E228" s="8" t="str">
        <f t="shared" si="10"/>
        <v>70.892</v>
      </c>
      <c r="F228" t="str">
        <f t="shared" si="9"/>
        <v>Nee</v>
      </c>
      <c r="G228" s="7">
        <v>0</v>
      </c>
      <c r="H228" s="7" t="s">
        <v>411</v>
      </c>
      <c r="I228" s="7" t="str">
        <f t="shared" si="11"/>
        <v/>
      </c>
    </row>
    <row r="229" spans="2:9" ht="15" customHeight="1" x14ac:dyDescent="0.25">
      <c r="B229" s="3" t="s">
        <v>303</v>
      </c>
      <c r="C229" s="5">
        <v>893</v>
      </c>
      <c r="D229" t="s">
        <v>409</v>
      </c>
      <c r="E229" s="8" t="str">
        <f t="shared" si="10"/>
        <v>70.893</v>
      </c>
      <c r="F229" t="str">
        <f t="shared" si="9"/>
        <v>Nee</v>
      </c>
      <c r="G229" s="7">
        <v>0</v>
      </c>
      <c r="H229" s="7" t="s">
        <v>411</v>
      </c>
      <c r="I229" s="7" t="str">
        <f t="shared" si="11"/>
        <v/>
      </c>
    </row>
    <row r="230" spans="2:9" ht="15" customHeight="1" x14ac:dyDescent="0.25">
      <c r="B230" s="3" t="s">
        <v>304</v>
      </c>
      <c r="C230" s="5">
        <v>894</v>
      </c>
      <c r="D230" t="s">
        <v>409</v>
      </c>
      <c r="E230" s="8" t="str">
        <f t="shared" si="10"/>
        <v>70.894</v>
      </c>
      <c r="F230" t="str">
        <f t="shared" si="9"/>
        <v>Nee</v>
      </c>
      <c r="G230" s="7">
        <v>0</v>
      </c>
      <c r="H230" s="7" t="s">
        <v>411</v>
      </c>
      <c r="I230" s="7" t="str">
        <f t="shared" si="11"/>
        <v/>
      </c>
    </row>
    <row r="231" spans="2:9" ht="15" customHeight="1" x14ac:dyDescent="0.25">
      <c r="B231" s="3" t="s">
        <v>305</v>
      </c>
      <c r="C231" s="5">
        <v>895</v>
      </c>
      <c r="D231" t="s">
        <v>409</v>
      </c>
      <c r="E231" s="8" t="str">
        <f t="shared" si="10"/>
        <v>70.895</v>
      </c>
      <c r="F231" t="str">
        <f t="shared" si="9"/>
        <v>Nee</v>
      </c>
      <c r="G231" s="7">
        <v>0</v>
      </c>
      <c r="H231" s="7" t="s">
        <v>411</v>
      </c>
      <c r="I231" s="7" t="str">
        <f t="shared" si="11"/>
        <v/>
      </c>
    </row>
    <row r="232" spans="2:9" ht="15" customHeight="1" x14ac:dyDescent="0.25">
      <c r="B232" s="3" t="s">
        <v>306</v>
      </c>
      <c r="C232" s="5">
        <v>896</v>
      </c>
      <c r="D232" t="s">
        <v>409</v>
      </c>
      <c r="E232" s="8" t="str">
        <f t="shared" si="10"/>
        <v>70.896</v>
      </c>
      <c r="F232" t="str">
        <f t="shared" si="9"/>
        <v>Nee</v>
      </c>
      <c r="G232" s="7">
        <v>0</v>
      </c>
      <c r="H232" s="7" t="s">
        <v>411</v>
      </c>
      <c r="I232" s="7" t="str">
        <f t="shared" si="11"/>
        <v/>
      </c>
    </row>
    <row r="233" spans="2:9" ht="15" customHeight="1" x14ac:dyDescent="0.25">
      <c r="B233" s="3" t="s">
        <v>307</v>
      </c>
      <c r="C233" s="5">
        <v>897</v>
      </c>
      <c r="D233" t="s">
        <v>409</v>
      </c>
      <c r="E233" s="8" t="str">
        <f t="shared" si="10"/>
        <v>70.897</v>
      </c>
      <c r="F233" t="str">
        <f t="shared" si="9"/>
        <v>Nee</v>
      </c>
      <c r="G233" s="7">
        <v>0</v>
      </c>
      <c r="H233" s="7" t="s">
        <v>411</v>
      </c>
      <c r="I233" s="7" t="str">
        <f t="shared" si="11"/>
        <v/>
      </c>
    </row>
    <row r="234" spans="2:9" ht="15" customHeight="1" x14ac:dyDescent="0.25">
      <c r="B234" s="3" t="s">
        <v>308</v>
      </c>
      <c r="C234" s="5">
        <v>898</v>
      </c>
      <c r="D234" t="s">
        <v>409</v>
      </c>
      <c r="E234" s="8" t="str">
        <f t="shared" si="10"/>
        <v>70.898</v>
      </c>
      <c r="F234" t="str">
        <f t="shared" si="9"/>
        <v>Nee</v>
      </c>
      <c r="G234" s="7">
        <v>0</v>
      </c>
      <c r="H234" s="7" t="s">
        <v>411</v>
      </c>
      <c r="I234" s="7" t="str">
        <f t="shared" si="11"/>
        <v/>
      </c>
    </row>
    <row r="235" spans="2:9" ht="15" customHeight="1" x14ac:dyDescent="0.25">
      <c r="B235" s="3" t="s">
        <v>309</v>
      </c>
      <c r="C235" s="5">
        <v>899</v>
      </c>
      <c r="D235" t="s">
        <v>409</v>
      </c>
      <c r="E235" s="8" t="str">
        <f t="shared" si="10"/>
        <v>70.899</v>
      </c>
      <c r="F235" t="str">
        <f t="shared" si="9"/>
        <v>Nee</v>
      </c>
      <c r="G235" s="7">
        <v>0</v>
      </c>
      <c r="H235" s="7" t="s">
        <v>411</v>
      </c>
      <c r="I235" s="7" t="str">
        <f t="shared" si="11"/>
        <v/>
      </c>
    </row>
    <row r="236" spans="2:9" ht="15" customHeight="1" x14ac:dyDescent="0.25">
      <c r="B236" s="3" t="s">
        <v>310</v>
      </c>
      <c r="C236" s="5">
        <v>900</v>
      </c>
      <c r="D236" t="s">
        <v>409</v>
      </c>
      <c r="E236" s="8" t="str">
        <f t="shared" si="10"/>
        <v>70.900</v>
      </c>
      <c r="F236" t="str">
        <f t="shared" si="9"/>
        <v>Nee</v>
      </c>
      <c r="G236" s="7">
        <v>0</v>
      </c>
      <c r="H236" s="7" t="s">
        <v>411</v>
      </c>
      <c r="I236" s="7" t="str">
        <f t="shared" si="11"/>
        <v/>
      </c>
    </row>
    <row r="237" spans="2:9" ht="15" customHeight="1" x14ac:dyDescent="0.25">
      <c r="B237" s="3" t="s">
        <v>311</v>
      </c>
      <c r="C237" s="5">
        <v>901</v>
      </c>
      <c r="D237" t="s">
        <v>409</v>
      </c>
      <c r="E237" s="8" t="str">
        <f t="shared" si="10"/>
        <v>70.901</v>
      </c>
      <c r="F237" t="str">
        <f t="shared" si="9"/>
        <v>Nee</v>
      </c>
      <c r="G237" s="7">
        <v>0</v>
      </c>
      <c r="H237" s="7" t="s">
        <v>411</v>
      </c>
      <c r="I237" s="7" t="str">
        <f t="shared" si="11"/>
        <v/>
      </c>
    </row>
    <row r="238" spans="2:9" ht="15" customHeight="1" x14ac:dyDescent="0.25">
      <c r="B238" s="3" t="s">
        <v>312</v>
      </c>
      <c r="C238" s="5">
        <v>902</v>
      </c>
      <c r="D238" t="s">
        <v>409</v>
      </c>
      <c r="E238" s="8" t="str">
        <f t="shared" si="10"/>
        <v>70.902</v>
      </c>
      <c r="F238" t="str">
        <f t="shared" si="9"/>
        <v>Nee</v>
      </c>
      <c r="G238" s="7">
        <v>0</v>
      </c>
      <c r="H238" s="7" t="s">
        <v>411</v>
      </c>
      <c r="I238" s="7" t="str">
        <f t="shared" si="11"/>
        <v/>
      </c>
    </row>
    <row r="239" spans="2:9" ht="15" customHeight="1" x14ac:dyDescent="0.25">
      <c r="B239" s="3" t="s">
        <v>313</v>
      </c>
      <c r="C239" s="5">
        <v>903</v>
      </c>
      <c r="D239" t="s">
        <v>409</v>
      </c>
      <c r="E239" s="8" t="str">
        <f t="shared" si="10"/>
        <v>70.903</v>
      </c>
      <c r="F239" t="str">
        <f t="shared" si="9"/>
        <v>Nee</v>
      </c>
      <c r="G239" s="7">
        <v>0</v>
      </c>
      <c r="H239" s="7" t="s">
        <v>411</v>
      </c>
      <c r="I239" s="7" t="str">
        <f t="shared" si="11"/>
        <v/>
      </c>
    </row>
    <row r="240" spans="2:9" ht="15" customHeight="1" x14ac:dyDescent="0.25">
      <c r="B240" s="3" t="s">
        <v>277</v>
      </c>
      <c r="C240" s="5">
        <v>904</v>
      </c>
      <c r="D240" t="s">
        <v>409</v>
      </c>
      <c r="E240" s="8" t="str">
        <f t="shared" si="10"/>
        <v>70.904</v>
      </c>
      <c r="F240" t="str">
        <f t="shared" si="9"/>
        <v>Nee</v>
      </c>
      <c r="G240" s="7">
        <v>0</v>
      </c>
      <c r="H240" s="7" t="s">
        <v>411</v>
      </c>
      <c r="I240" s="7" t="str">
        <f t="shared" si="11"/>
        <v/>
      </c>
    </row>
    <row r="241" spans="2:9" ht="15" customHeight="1" x14ac:dyDescent="0.25">
      <c r="B241" s="3" t="s">
        <v>314</v>
      </c>
      <c r="C241" s="5">
        <v>905</v>
      </c>
      <c r="D241" t="s">
        <v>409</v>
      </c>
      <c r="E241" s="8" t="str">
        <f t="shared" si="10"/>
        <v>70.905</v>
      </c>
      <c r="F241" t="str">
        <f t="shared" si="9"/>
        <v>Nee</v>
      </c>
      <c r="G241" s="7">
        <v>0</v>
      </c>
      <c r="H241" s="7" t="s">
        <v>411</v>
      </c>
      <c r="I241" s="7" t="str">
        <f t="shared" si="11"/>
        <v/>
      </c>
    </row>
    <row r="242" spans="2:9" ht="15" customHeight="1" x14ac:dyDescent="0.25">
      <c r="B242" s="3" t="s">
        <v>315</v>
      </c>
      <c r="C242" s="5">
        <v>906</v>
      </c>
      <c r="D242" t="s">
        <v>409</v>
      </c>
      <c r="E242" s="8" t="str">
        <f t="shared" si="10"/>
        <v>70.906</v>
      </c>
      <c r="F242" t="str">
        <f t="shared" si="9"/>
        <v>Nee</v>
      </c>
      <c r="G242" s="7">
        <v>0</v>
      </c>
      <c r="H242" s="7" t="s">
        <v>411</v>
      </c>
      <c r="I242" s="7" t="str">
        <f t="shared" si="11"/>
        <v/>
      </c>
    </row>
    <row r="243" spans="2:9" ht="15" customHeight="1" x14ac:dyDescent="0.25">
      <c r="B243" s="3" t="s">
        <v>316</v>
      </c>
      <c r="C243" s="5">
        <v>907</v>
      </c>
      <c r="D243" t="s">
        <v>409</v>
      </c>
      <c r="E243" s="8" t="str">
        <f t="shared" si="10"/>
        <v>70.907</v>
      </c>
      <c r="F243" t="str">
        <f t="shared" si="9"/>
        <v>Nee</v>
      </c>
      <c r="G243" s="7">
        <v>0</v>
      </c>
      <c r="H243" s="7" t="s">
        <v>411</v>
      </c>
      <c r="I243" s="7" t="str">
        <f t="shared" si="11"/>
        <v/>
      </c>
    </row>
    <row r="244" spans="2:9" ht="15" customHeight="1" x14ac:dyDescent="0.25">
      <c r="B244" s="3" t="s">
        <v>317</v>
      </c>
      <c r="C244" s="5">
        <v>908</v>
      </c>
      <c r="D244" t="s">
        <v>409</v>
      </c>
      <c r="E244" s="8" t="str">
        <f t="shared" si="10"/>
        <v>70.908</v>
      </c>
      <c r="F244" t="str">
        <f t="shared" si="9"/>
        <v>Nee</v>
      </c>
      <c r="G244" s="7">
        <v>0</v>
      </c>
      <c r="H244" s="7" t="s">
        <v>411</v>
      </c>
      <c r="I244" s="7" t="str">
        <f t="shared" si="11"/>
        <v/>
      </c>
    </row>
    <row r="245" spans="2:9" ht="15" customHeight="1" x14ac:dyDescent="0.25">
      <c r="B245" s="3" t="s">
        <v>318</v>
      </c>
      <c r="C245" s="5">
        <v>909</v>
      </c>
      <c r="D245" t="s">
        <v>409</v>
      </c>
      <c r="E245" s="8" t="str">
        <f t="shared" si="10"/>
        <v>70.909</v>
      </c>
      <c r="F245" t="str">
        <f t="shared" si="9"/>
        <v>Nee</v>
      </c>
      <c r="G245" s="7">
        <v>0</v>
      </c>
      <c r="H245" s="7" t="s">
        <v>411</v>
      </c>
      <c r="I245" s="7" t="str">
        <f t="shared" si="11"/>
        <v/>
      </c>
    </row>
    <row r="246" spans="2:9" ht="15" customHeight="1" x14ac:dyDescent="0.25">
      <c r="B246" s="3" t="s">
        <v>319</v>
      </c>
      <c r="C246" s="5">
        <v>910</v>
      </c>
      <c r="D246" t="s">
        <v>409</v>
      </c>
      <c r="E246" s="8" t="str">
        <f t="shared" si="10"/>
        <v>70.910</v>
      </c>
      <c r="F246" t="str">
        <f t="shared" si="9"/>
        <v>Nee</v>
      </c>
      <c r="G246" s="7">
        <v>0</v>
      </c>
      <c r="H246" s="7" t="s">
        <v>411</v>
      </c>
      <c r="I246" s="7" t="str">
        <f t="shared" si="11"/>
        <v/>
      </c>
    </row>
    <row r="247" spans="2:9" ht="15" customHeight="1" x14ac:dyDescent="0.25">
      <c r="B247" s="3" t="s">
        <v>320</v>
      </c>
      <c r="C247" s="5">
        <v>911</v>
      </c>
      <c r="D247" t="s">
        <v>409</v>
      </c>
      <c r="E247" s="8" t="str">
        <f t="shared" si="10"/>
        <v>70.911</v>
      </c>
      <c r="F247" t="str">
        <f t="shared" si="9"/>
        <v>Nee</v>
      </c>
      <c r="G247" s="7">
        <v>0</v>
      </c>
      <c r="H247" s="7" t="s">
        <v>411</v>
      </c>
      <c r="I247" s="7" t="str">
        <f t="shared" si="11"/>
        <v/>
      </c>
    </row>
    <row r="248" spans="2:9" ht="15" customHeight="1" x14ac:dyDescent="0.25">
      <c r="B248" s="3" t="s">
        <v>321</v>
      </c>
      <c r="C248" s="5">
        <v>912</v>
      </c>
      <c r="D248" t="s">
        <v>409</v>
      </c>
      <c r="E248" s="8" t="str">
        <f t="shared" si="10"/>
        <v>70.912</v>
      </c>
      <c r="F248" t="str">
        <f t="shared" si="9"/>
        <v>Nee</v>
      </c>
      <c r="G248" s="7">
        <v>0</v>
      </c>
      <c r="H248" s="7" t="s">
        <v>411</v>
      </c>
      <c r="I248" s="7" t="str">
        <f t="shared" si="11"/>
        <v/>
      </c>
    </row>
    <row r="249" spans="2:9" ht="15" customHeight="1" x14ac:dyDescent="0.25">
      <c r="B249" s="3" t="s">
        <v>322</v>
      </c>
      <c r="C249" s="5">
        <v>913</v>
      </c>
      <c r="D249" t="s">
        <v>409</v>
      </c>
      <c r="E249" s="8" t="str">
        <f t="shared" si="10"/>
        <v>70.913</v>
      </c>
      <c r="F249" t="str">
        <f t="shared" si="9"/>
        <v>Nee</v>
      </c>
      <c r="G249" s="7">
        <v>0</v>
      </c>
      <c r="H249" s="7" t="s">
        <v>411</v>
      </c>
      <c r="I249" s="7" t="str">
        <f t="shared" si="11"/>
        <v/>
      </c>
    </row>
    <row r="250" spans="2:9" ht="15" customHeight="1" x14ac:dyDescent="0.25">
      <c r="B250" s="3" t="s">
        <v>323</v>
      </c>
      <c r="C250" s="5">
        <v>914</v>
      </c>
      <c r="D250" t="s">
        <v>409</v>
      </c>
      <c r="E250" s="8" t="str">
        <f t="shared" si="10"/>
        <v>70.914</v>
      </c>
      <c r="F250" t="str">
        <f t="shared" si="9"/>
        <v>Nee</v>
      </c>
      <c r="G250" s="7">
        <v>0</v>
      </c>
      <c r="H250" s="7" t="s">
        <v>411</v>
      </c>
      <c r="I250" s="7" t="str">
        <f t="shared" si="11"/>
        <v/>
      </c>
    </row>
    <row r="251" spans="2:9" ht="15" customHeight="1" x14ac:dyDescent="0.25">
      <c r="B251" s="3" t="s">
        <v>324</v>
      </c>
      <c r="C251" s="5">
        <v>915</v>
      </c>
      <c r="D251" t="s">
        <v>409</v>
      </c>
      <c r="E251" s="8" t="str">
        <f t="shared" si="10"/>
        <v>70.915</v>
      </c>
      <c r="F251" t="str">
        <f t="shared" si="9"/>
        <v>Nee</v>
      </c>
      <c r="G251" s="7">
        <v>0</v>
      </c>
      <c r="H251" s="7" t="s">
        <v>411</v>
      </c>
      <c r="I251" s="7" t="str">
        <f t="shared" si="11"/>
        <v/>
      </c>
    </row>
    <row r="252" spans="2:9" ht="15" customHeight="1" x14ac:dyDescent="0.25">
      <c r="B252" s="3" t="s">
        <v>325</v>
      </c>
      <c r="C252" s="5">
        <v>916</v>
      </c>
      <c r="D252" t="s">
        <v>409</v>
      </c>
      <c r="E252" s="8" t="str">
        <f t="shared" si="10"/>
        <v>70.916</v>
      </c>
      <c r="F252" t="str">
        <f t="shared" si="9"/>
        <v>Nee</v>
      </c>
      <c r="G252" s="7">
        <v>0</v>
      </c>
      <c r="H252" s="7" t="s">
        <v>411</v>
      </c>
      <c r="I252" s="7" t="str">
        <f t="shared" si="11"/>
        <v/>
      </c>
    </row>
    <row r="253" spans="2:9" ht="15" customHeight="1" x14ac:dyDescent="0.25">
      <c r="B253" s="3" t="s">
        <v>326</v>
      </c>
      <c r="C253" s="5">
        <v>917</v>
      </c>
      <c r="D253" t="s">
        <v>409</v>
      </c>
      <c r="E253" s="8" t="str">
        <f t="shared" si="10"/>
        <v>70.917</v>
      </c>
      <c r="F253" t="str">
        <f t="shared" si="9"/>
        <v>Nee</v>
      </c>
      <c r="G253" s="7">
        <v>0</v>
      </c>
      <c r="H253" s="7" t="s">
        <v>411</v>
      </c>
      <c r="I253" s="7" t="str">
        <f t="shared" si="11"/>
        <v/>
      </c>
    </row>
    <row r="254" spans="2:9" ht="15" customHeight="1" x14ac:dyDescent="0.25">
      <c r="B254" s="3" t="s">
        <v>327</v>
      </c>
      <c r="C254" s="5">
        <v>918</v>
      </c>
      <c r="D254" t="s">
        <v>409</v>
      </c>
      <c r="E254" s="8" t="str">
        <f t="shared" si="10"/>
        <v>70.918</v>
      </c>
      <c r="F254" t="str">
        <f t="shared" si="9"/>
        <v>Nee</v>
      </c>
      <c r="G254" s="7">
        <v>0</v>
      </c>
      <c r="H254" s="7" t="s">
        <v>411</v>
      </c>
      <c r="I254" s="7" t="str">
        <f t="shared" si="11"/>
        <v/>
      </c>
    </row>
    <row r="255" spans="2:9" ht="15" customHeight="1" x14ac:dyDescent="0.25">
      <c r="B255" s="3" t="s">
        <v>328</v>
      </c>
      <c r="C255" s="5">
        <v>919</v>
      </c>
      <c r="D255" t="s">
        <v>409</v>
      </c>
      <c r="E255" s="8" t="str">
        <f t="shared" si="10"/>
        <v>70.919</v>
      </c>
      <c r="F255" t="str">
        <f t="shared" si="9"/>
        <v>Nee</v>
      </c>
      <c r="G255" s="7">
        <v>0</v>
      </c>
      <c r="H255" s="7" t="s">
        <v>411</v>
      </c>
      <c r="I255" s="7" t="str">
        <f t="shared" si="11"/>
        <v/>
      </c>
    </row>
    <row r="256" spans="2:9" ht="15" customHeight="1" x14ac:dyDescent="0.25">
      <c r="B256" s="3" t="s">
        <v>329</v>
      </c>
      <c r="C256" s="5">
        <v>920</v>
      </c>
      <c r="D256" t="s">
        <v>409</v>
      </c>
      <c r="E256" s="8" t="str">
        <f t="shared" si="10"/>
        <v>70.920</v>
      </c>
      <c r="F256" t="str">
        <f t="shared" si="9"/>
        <v>Nee</v>
      </c>
      <c r="G256" s="7">
        <v>0</v>
      </c>
      <c r="H256" s="7" t="s">
        <v>411</v>
      </c>
      <c r="I256" s="7" t="str">
        <f t="shared" si="11"/>
        <v/>
      </c>
    </row>
    <row r="257" spans="2:9" ht="15" customHeight="1" x14ac:dyDescent="0.25">
      <c r="B257" s="3" t="s">
        <v>330</v>
      </c>
      <c r="C257" s="5">
        <v>921</v>
      </c>
      <c r="D257" t="s">
        <v>409</v>
      </c>
      <c r="E257" s="8" t="str">
        <f t="shared" si="10"/>
        <v>70.921</v>
      </c>
      <c r="F257" t="str">
        <f t="shared" si="9"/>
        <v>Nee</v>
      </c>
      <c r="G257" s="7">
        <v>0</v>
      </c>
      <c r="H257" s="7" t="s">
        <v>411</v>
      </c>
      <c r="I257" s="7" t="str">
        <f t="shared" si="11"/>
        <v/>
      </c>
    </row>
    <row r="258" spans="2:9" ht="15" customHeight="1" x14ac:dyDescent="0.25">
      <c r="B258" s="3" t="s">
        <v>331</v>
      </c>
      <c r="C258" s="5">
        <v>922</v>
      </c>
      <c r="D258" t="s">
        <v>409</v>
      </c>
      <c r="E258" s="8" t="str">
        <f t="shared" si="10"/>
        <v>70.922</v>
      </c>
      <c r="F258" t="str">
        <f t="shared" si="9"/>
        <v>Nee</v>
      </c>
      <c r="G258" s="7">
        <v>0</v>
      </c>
      <c r="H258" s="7" t="s">
        <v>411</v>
      </c>
      <c r="I258" s="7" t="str">
        <f t="shared" si="11"/>
        <v/>
      </c>
    </row>
    <row r="259" spans="2:9" ht="15" customHeight="1" x14ac:dyDescent="0.25">
      <c r="B259" s="3" t="s">
        <v>332</v>
      </c>
      <c r="C259" s="5">
        <v>923</v>
      </c>
      <c r="D259" t="s">
        <v>409</v>
      </c>
      <c r="E259" s="8" t="str">
        <f t="shared" si="10"/>
        <v>70.923</v>
      </c>
      <c r="F259" t="str">
        <f t="shared" si="9"/>
        <v>Nee</v>
      </c>
      <c r="G259" s="7">
        <v>0</v>
      </c>
      <c r="H259" s="7" t="s">
        <v>411</v>
      </c>
      <c r="I259" s="7" t="str">
        <f t="shared" si="11"/>
        <v/>
      </c>
    </row>
    <row r="260" spans="2:9" ht="15" customHeight="1" x14ac:dyDescent="0.25">
      <c r="B260" s="3" t="s">
        <v>333</v>
      </c>
      <c r="C260" s="5">
        <v>924</v>
      </c>
      <c r="D260" t="s">
        <v>409</v>
      </c>
      <c r="E260" s="8" t="str">
        <f t="shared" si="10"/>
        <v>70.924</v>
      </c>
      <c r="F260" t="str">
        <f t="shared" si="9"/>
        <v>Nee</v>
      </c>
      <c r="G260" s="7">
        <v>0</v>
      </c>
      <c r="H260" s="7" t="s">
        <v>411</v>
      </c>
      <c r="I260" s="7" t="str">
        <f t="shared" si="11"/>
        <v/>
      </c>
    </row>
    <row r="261" spans="2:9" ht="15" customHeight="1" x14ac:dyDescent="0.25">
      <c r="B261" s="3" t="s">
        <v>334</v>
      </c>
      <c r="C261" s="5">
        <v>925</v>
      </c>
      <c r="D261" t="s">
        <v>409</v>
      </c>
      <c r="E261" s="8" t="str">
        <f t="shared" si="10"/>
        <v>70.925</v>
      </c>
      <c r="F261" t="str">
        <f t="shared" si="9"/>
        <v>Nee</v>
      </c>
      <c r="G261" s="7">
        <v>0</v>
      </c>
      <c r="H261" s="7" t="s">
        <v>411</v>
      </c>
      <c r="I261" s="7" t="str">
        <f t="shared" si="11"/>
        <v/>
      </c>
    </row>
    <row r="262" spans="2:9" ht="15" customHeight="1" x14ac:dyDescent="0.25">
      <c r="B262" s="3" t="s">
        <v>335</v>
      </c>
      <c r="C262" s="5">
        <v>926</v>
      </c>
      <c r="D262" t="s">
        <v>409</v>
      </c>
      <c r="E262" s="8" t="str">
        <f t="shared" si="10"/>
        <v>70.926</v>
      </c>
      <c r="F262" t="str">
        <f t="shared" si="9"/>
        <v>Nee</v>
      </c>
      <c r="G262" s="7">
        <v>0</v>
      </c>
      <c r="H262" s="7" t="s">
        <v>411</v>
      </c>
      <c r="I262" s="7" t="str">
        <f t="shared" si="11"/>
        <v/>
      </c>
    </row>
    <row r="263" spans="2:9" ht="15" customHeight="1" x14ac:dyDescent="0.25">
      <c r="B263" s="3" t="s">
        <v>336</v>
      </c>
      <c r="C263" s="5">
        <v>927</v>
      </c>
      <c r="D263" t="s">
        <v>409</v>
      </c>
      <c r="E263" s="8" t="str">
        <f t="shared" si="10"/>
        <v>70.927</v>
      </c>
      <c r="F263" t="str">
        <f t="shared" si="9"/>
        <v>Nee</v>
      </c>
      <c r="G263" s="7">
        <v>0</v>
      </c>
      <c r="H263" s="7" t="s">
        <v>411</v>
      </c>
      <c r="I263" s="7" t="str">
        <f t="shared" si="11"/>
        <v/>
      </c>
    </row>
    <row r="264" spans="2:9" ht="15" customHeight="1" x14ac:dyDescent="0.25">
      <c r="B264" s="3" t="s">
        <v>337</v>
      </c>
      <c r="C264" s="5">
        <v>928</v>
      </c>
      <c r="D264" t="s">
        <v>409</v>
      </c>
      <c r="E264" s="8" t="str">
        <f t="shared" si="10"/>
        <v>70.928</v>
      </c>
      <c r="F264" t="str">
        <f t="shared" ref="F264:F327" si="12">IF(G264="","",IF(G264&gt;0,"Ja","Nee"))</f>
        <v>Nee</v>
      </c>
      <c r="G264" s="7">
        <v>0</v>
      </c>
      <c r="H264" s="7" t="s">
        <v>411</v>
      </c>
      <c r="I264" s="7" t="str">
        <f t="shared" si="11"/>
        <v/>
      </c>
    </row>
    <row r="265" spans="2:9" ht="15" customHeight="1" x14ac:dyDescent="0.25">
      <c r="B265" s="3" t="s">
        <v>338</v>
      </c>
      <c r="C265" s="5">
        <v>929</v>
      </c>
      <c r="D265" t="s">
        <v>409</v>
      </c>
      <c r="E265" s="8" t="str">
        <f t="shared" ref="E265:E328" si="13">IF(D265="Model Air","71."&amp;C265,IF(D265="Model Color","70."&amp;C265,IF(D265="Metal Color","77."&amp;C265,IF(D265="Primer 200ml","74."&amp;C265,IF(D265="Primer 60ml","73."&amp;C265,IF(D265="Primer 17ml","70."&amp;C265,IF(D265="Enamel Revell","REV-"&amp;VALUE(C265),"")))))))</f>
        <v>70.929</v>
      </c>
      <c r="F265" t="str">
        <f t="shared" si="12"/>
        <v>Nee</v>
      </c>
      <c r="G265" s="7">
        <v>0</v>
      </c>
      <c r="H265" s="7" t="s">
        <v>411</v>
      </c>
      <c r="I265" s="7" t="str">
        <f t="shared" ref="I265:I328" si="14">IF(H265="Ja",IF(J265="",1,J265),"")</f>
        <v/>
      </c>
    </row>
    <row r="266" spans="2:9" ht="15" customHeight="1" x14ac:dyDescent="0.25">
      <c r="B266" s="3" t="s">
        <v>339</v>
      </c>
      <c r="C266" s="5">
        <v>930</v>
      </c>
      <c r="D266" t="s">
        <v>409</v>
      </c>
      <c r="E266" s="8" t="str">
        <f t="shared" si="13"/>
        <v>70.930</v>
      </c>
      <c r="F266" t="str">
        <f t="shared" si="12"/>
        <v>Nee</v>
      </c>
      <c r="G266" s="7">
        <v>0</v>
      </c>
      <c r="H266" s="7" t="s">
        <v>411</v>
      </c>
      <c r="I266" s="7" t="str">
        <f t="shared" si="14"/>
        <v/>
      </c>
    </row>
    <row r="267" spans="2:9" ht="15" customHeight="1" x14ac:dyDescent="0.25">
      <c r="B267" s="3" t="s">
        <v>340</v>
      </c>
      <c r="C267" s="5">
        <v>934</v>
      </c>
      <c r="D267" t="s">
        <v>409</v>
      </c>
      <c r="E267" s="8" t="str">
        <f t="shared" si="13"/>
        <v>70.934</v>
      </c>
      <c r="F267" t="str">
        <f t="shared" si="12"/>
        <v>Nee</v>
      </c>
      <c r="G267" s="7">
        <v>0</v>
      </c>
      <c r="H267" s="7" t="s">
        <v>411</v>
      </c>
      <c r="I267" s="7" t="str">
        <f t="shared" si="14"/>
        <v/>
      </c>
    </row>
    <row r="268" spans="2:9" ht="15" customHeight="1" x14ac:dyDescent="0.25">
      <c r="B268" s="3" t="s">
        <v>341</v>
      </c>
      <c r="C268" s="5">
        <v>935</v>
      </c>
      <c r="D268" t="s">
        <v>409</v>
      </c>
      <c r="E268" s="8" t="str">
        <f t="shared" si="13"/>
        <v>70.935</v>
      </c>
      <c r="F268" t="str">
        <f t="shared" si="12"/>
        <v>Nee</v>
      </c>
      <c r="G268" s="7">
        <v>0</v>
      </c>
      <c r="H268" s="7" t="s">
        <v>411</v>
      </c>
      <c r="I268" s="7" t="str">
        <f t="shared" si="14"/>
        <v/>
      </c>
    </row>
    <row r="269" spans="2:9" ht="15" customHeight="1" x14ac:dyDescent="0.25">
      <c r="B269" s="3" t="s">
        <v>342</v>
      </c>
      <c r="C269" s="5">
        <v>936</v>
      </c>
      <c r="D269" t="s">
        <v>409</v>
      </c>
      <c r="E269" s="8" t="str">
        <f t="shared" si="13"/>
        <v>70.936</v>
      </c>
      <c r="F269" t="str">
        <f t="shared" si="12"/>
        <v>Nee</v>
      </c>
      <c r="G269" s="7">
        <v>0</v>
      </c>
      <c r="H269" s="7" t="s">
        <v>411</v>
      </c>
      <c r="I269" s="7" t="str">
        <f t="shared" si="14"/>
        <v/>
      </c>
    </row>
    <row r="270" spans="2:9" ht="15" customHeight="1" x14ac:dyDescent="0.25">
      <c r="B270" s="3" t="s">
        <v>343</v>
      </c>
      <c r="C270" s="5">
        <v>937</v>
      </c>
      <c r="D270" t="s">
        <v>409</v>
      </c>
      <c r="E270" s="8" t="str">
        <f t="shared" si="13"/>
        <v>70.937</v>
      </c>
      <c r="F270" t="str">
        <f t="shared" si="12"/>
        <v>Nee</v>
      </c>
      <c r="G270" s="7">
        <v>0</v>
      </c>
      <c r="H270" s="7" t="s">
        <v>411</v>
      </c>
      <c r="I270" s="7" t="str">
        <f t="shared" si="14"/>
        <v/>
      </c>
    </row>
    <row r="271" spans="2:9" ht="15" customHeight="1" x14ac:dyDescent="0.25">
      <c r="B271" s="3" t="s">
        <v>344</v>
      </c>
      <c r="C271" s="5">
        <v>938</v>
      </c>
      <c r="D271" t="s">
        <v>409</v>
      </c>
      <c r="E271" s="8" t="str">
        <f t="shared" si="13"/>
        <v>70.938</v>
      </c>
      <c r="F271" t="str">
        <f t="shared" si="12"/>
        <v>Nee</v>
      </c>
      <c r="G271" s="7">
        <v>0</v>
      </c>
      <c r="H271" s="7" t="s">
        <v>411</v>
      </c>
      <c r="I271" s="7" t="str">
        <f t="shared" si="14"/>
        <v/>
      </c>
    </row>
    <row r="272" spans="2:9" ht="15" customHeight="1" x14ac:dyDescent="0.25">
      <c r="B272" s="3" t="s">
        <v>345</v>
      </c>
      <c r="C272" s="5">
        <v>939</v>
      </c>
      <c r="D272" t="s">
        <v>409</v>
      </c>
      <c r="E272" s="8" t="str">
        <f t="shared" si="13"/>
        <v>70.939</v>
      </c>
      <c r="F272" t="str">
        <f t="shared" si="12"/>
        <v>Nee</v>
      </c>
      <c r="G272" s="7">
        <v>0</v>
      </c>
      <c r="H272" s="7" t="s">
        <v>411</v>
      </c>
      <c r="I272" s="7" t="str">
        <f t="shared" si="14"/>
        <v/>
      </c>
    </row>
    <row r="273" spans="2:9" ht="15" customHeight="1" x14ac:dyDescent="0.25">
      <c r="B273" s="3" t="s">
        <v>346</v>
      </c>
      <c r="C273" s="5">
        <v>940</v>
      </c>
      <c r="D273" t="s">
        <v>409</v>
      </c>
      <c r="E273" s="8" t="str">
        <f t="shared" si="13"/>
        <v>70.940</v>
      </c>
      <c r="F273" t="str">
        <f t="shared" si="12"/>
        <v>Nee</v>
      </c>
      <c r="G273" s="7">
        <v>0</v>
      </c>
      <c r="H273" s="7" t="s">
        <v>411</v>
      </c>
      <c r="I273" s="7" t="str">
        <f t="shared" si="14"/>
        <v/>
      </c>
    </row>
    <row r="274" spans="2:9" ht="15" customHeight="1" x14ac:dyDescent="0.25">
      <c r="B274" s="3" t="s">
        <v>347</v>
      </c>
      <c r="C274" s="5">
        <v>941</v>
      </c>
      <c r="D274" t="s">
        <v>409</v>
      </c>
      <c r="E274" s="8" t="str">
        <f t="shared" si="13"/>
        <v>70.941</v>
      </c>
      <c r="F274" t="str">
        <f t="shared" si="12"/>
        <v>Nee</v>
      </c>
      <c r="G274" s="7">
        <v>0</v>
      </c>
      <c r="H274" s="7" t="s">
        <v>411</v>
      </c>
      <c r="I274" s="7" t="str">
        <f t="shared" si="14"/>
        <v/>
      </c>
    </row>
    <row r="275" spans="2:9" ht="15" customHeight="1" x14ac:dyDescent="0.25">
      <c r="B275" s="3" t="s">
        <v>348</v>
      </c>
      <c r="C275" s="5">
        <v>942</v>
      </c>
      <c r="D275" t="s">
        <v>409</v>
      </c>
      <c r="E275" s="8" t="str">
        <f t="shared" si="13"/>
        <v>70.942</v>
      </c>
      <c r="F275" t="str">
        <f t="shared" si="12"/>
        <v>Nee</v>
      </c>
      <c r="G275" s="7">
        <v>0</v>
      </c>
      <c r="H275" s="7" t="s">
        <v>411</v>
      </c>
      <c r="I275" s="7" t="str">
        <f t="shared" si="14"/>
        <v/>
      </c>
    </row>
    <row r="276" spans="2:9" ht="15" customHeight="1" x14ac:dyDescent="0.25">
      <c r="B276" s="3" t="s">
        <v>349</v>
      </c>
      <c r="C276" s="5">
        <v>943</v>
      </c>
      <c r="D276" t="s">
        <v>409</v>
      </c>
      <c r="E276" s="8" t="str">
        <f t="shared" si="13"/>
        <v>70.943</v>
      </c>
      <c r="F276" t="str">
        <f t="shared" si="12"/>
        <v>Nee</v>
      </c>
      <c r="G276" s="7">
        <v>0</v>
      </c>
      <c r="H276" s="7" t="s">
        <v>411</v>
      </c>
      <c r="I276" s="7" t="str">
        <f t="shared" si="14"/>
        <v/>
      </c>
    </row>
    <row r="277" spans="2:9" ht="15" customHeight="1" x14ac:dyDescent="0.25">
      <c r="B277" s="3" t="s">
        <v>350</v>
      </c>
      <c r="C277" s="5">
        <v>944</v>
      </c>
      <c r="D277" t="s">
        <v>409</v>
      </c>
      <c r="E277" s="8" t="str">
        <f t="shared" si="13"/>
        <v>70.944</v>
      </c>
      <c r="F277" t="str">
        <f t="shared" si="12"/>
        <v>Nee</v>
      </c>
      <c r="G277" s="7">
        <v>0</v>
      </c>
      <c r="H277" s="7" t="s">
        <v>411</v>
      </c>
      <c r="I277" s="7" t="str">
        <f t="shared" si="14"/>
        <v/>
      </c>
    </row>
    <row r="278" spans="2:9" ht="15" customHeight="1" x14ac:dyDescent="0.25">
      <c r="B278" s="3" t="s">
        <v>351</v>
      </c>
      <c r="C278" s="5">
        <v>945</v>
      </c>
      <c r="D278" t="s">
        <v>409</v>
      </c>
      <c r="E278" s="8" t="str">
        <f t="shared" si="13"/>
        <v>70.945</v>
      </c>
      <c r="F278" t="str">
        <f t="shared" si="12"/>
        <v>Nee</v>
      </c>
      <c r="G278" s="7">
        <v>0</v>
      </c>
      <c r="H278" s="7" t="s">
        <v>411</v>
      </c>
      <c r="I278" s="7" t="str">
        <f t="shared" si="14"/>
        <v/>
      </c>
    </row>
    <row r="279" spans="2:9" ht="15" customHeight="1" x14ac:dyDescent="0.25">
      <c r="B279" s="3" t="s">
        <v>352</v>
      </c>
      <c r="C279" s="5">
        <v>946</v>
      </c>
      <c r="D279" t="s">
        <v>409</v>
      </c>
      <c r="E279" s="8" t="str">
        <f t="shared" si="13"/>
        <v>70.946</v>
      </c>
      <c r="F279" t="str">
        <f t="shared" si="12"/>
        <v>Nee</v>
      </c>
      <c r="G279" s="7">
        <v>0</v>
      </c>
      <c r="H279" s="7" t="s">
        <v>411</v>
      </c>
      <c r="I279" s="7" t="str">
        <f t="shared" si="14"/>
        <v/>
      </c>
    </row>
    <row r="280" spans="2:9" ht="15" customHeight="1" x14ac:dyDescent="0.25">
      <c r="B280" s="3" t="s">
        <v>335</v>
      </c>
      <c r="C280" s="5">
        <v>947</v>
      </c>
      <c r="D280" t="s">
        <v>409</v>
      </c>
      <c r="E280" s="8" t="str">
        <f t="shared" si="13"/>
        <v>70.947</v>
      </c>
      <c r="F280" t="str">
        <f t="shared" si="12"/>
        <v>Nee</v>
      </c>
      <c r="G280" s="7">
        <v>0</v>
      </c>
      <c r="H280" s="7" t="s">
        <v>411</v>
      </c>
      <c r="I280" s="7" t="str">
        <f t="shared" si="14"/>
        <v/>
      </c>
    </row>
    <row r="281" spans="2:9" ht="15" customHeight="1" x14ac:dyDescent="0.25">
      <c r="B281" s="3" t="s">
        <v>353</v>
      </c>
      <c r="C281" s="5">
        <v>948</v>
      </c>
      <c r="D281" t="s">
        <v>409</v>
      </c>
      <c r="E281" s="8" t="str">
        <f t="shared" si="13"/>
        <v>70.948</v>
      </c>
      <c r="F281" t="str">
        <f t="shared" si="12"/>
        <v>Nee</v>
      </c>
      <c r="G281" s="7">
        <v>0</v>
      </c>
      <c r="H281" s="7" t="s">
        <v>411</v>
      </c>
      <c r="I281" s="7" t="str">
        <f t="shared" si="14"/>
        <v/>
      </c>
    </row>
    <row r="282" spans="2:9" ht="15" customHeight="1" x14ac:dyDescent="0.25">
      <c r="B282" s="3" t="s">
        <v>354</v>
      </c>
      <c r="C282" s="5">
        <v>949</v>
      </c>
      <c r="D282" t="s">
        <v>409</v>
      </c>
      <c r="E282" s="8" t="str">
        <f t="shared" si="13"/>
        <v>70.949</v>
      </c>
      <c r="F282" t="str">
        <f t="shared" si="12"/>
        <v>Nee</v>
      </c>
      <c r="G282" s="7">
        <v>0</v>
      </c>
      <c r="H282" s="7" t="s">
        <v>411</v>
      </c>
      <c r="I282" s="7" t="str">
        <f t="shared" si="14"/>
        <v/>
      </c>
    </row>
    <row r="283" spans="2:9" ht="15" customHeight="1" x14ac:dyDescent="0.25">
      <c r="B283" s="3" t="s">
        <v>355</v>
      </c>
      <c r="C283" s="5">
        <v>950</v>
      </c>
      <c r="D283" t="s">
        <v>409</v>
      </c>
      <c r="E283" s="8" t="str">
        <f t="shared" si="13"/>
        <v>70.950</v>
      </c>
      <c r="F283" t="str">
        <f t="shared" si="12"/>
        <v>Nee</v>
      </c>
      <c r="G283" s="7">
        <v>0</v>
      </c>
      <c r="H283" s="7" t="s">
        <v>411</v>
      </c>
      <c r="I283" s="7" t="str">
        <f t="shared" si="14"/>
        <v/>
      </c>
    </row>
    <row r="284" spans="2:9" ht="15" customHeight="1" x14ac:dyDescent="0.25">
      <c r="B284" s="3" t="s">
        <v>356</v>
      </c>
      <c r="C284" s="5">
        <v>951</v>
      </c>
      <c r="D284" t="s">
        <v>409</v>
      </c>
      <c r="E284" s="8" t="str">
        <f t="shared" si="13"/>
        <v>70.951</v>
      </c>
      <c r="F284" t="str">
        <f t="shared" si="12"/>
        <v>Nee</v>
      </c>
      <c r="G284" s="7">
        <v>0</v>
      </c>
      <c r="H284" s="7" t="s">
        <v>411</v>
      </c>
      <c r="I284" s="7" t="str">
        <f t="shared" si="14"/>
        <v/>
      </c>
    </row>
    <row r="285" spans="2:9" ht="15" customHeight="1" x14ac:dyDescent="0.25">
      <c r="B285" s="3" t="s">
        <v>357</v>
      </c>
      <c r="C285" s="5">
        <v>952</v>
      </c>
      <c r="D285" t="s">
        <v>409</v>
      </c>
      <c r="E285" s="8" t="str">
        <f t="shared" si="13"/>
        <v>70.952</v>
      </c>
      <c r="F285" t="str">
        <f t="shared" si="12"/>
        <v>Nee</v>
      </c>
      <c r="G285" s="7">
        <v>0</v>
      </c>
      <c r="H285" s="7" t="s">
        <v>411</v>
      </c>
      <c r="I285" s="7" t="str">
        <f t="shared" si="14"/>
        <v/>
      </c>
    </row>
    <row r="286" spans="2:9" ht="15" customHeight="1" x14ac:dyDescent="0.25">
      <c r="B286" s="3" t="s">
        <v>358</v>
      </c>
      <c r="C286" s="5">
        <v>953</v>
      </c>
      <c r="D286" t="s">
        <v>409</v>
      </c>
      <c r="E286" s="8" t="str">
        <f t="shared" si="13"/>
        <v>70.953</v>
      </c>
      <c r="F286" t="str">
        <f t="shared" si="12"/>
        <v>Nee</v>
      </c>
      <c r="G286" s="7">
        <v>0</v>
      </c>
      <c r="H286" s="7" t="s">
        <v>411</v>
      </c>
      <c r="I286" s="7" t="str">
        <f t="shared" si="14"/>
        <v/>
      </c>
    </row>
    <row r="287" spans="2:9" ht="15" customHeight="1" x14ac:dyDescent="0.25">
      <c r="B287" s="3" t="s">
        <v>291</v>
      </c>
      <c r="C287" s="5">
        <v>954</v>
      </c>
      <c r="D287" t="s">
        <v>409</v>
      </c>
      <c r="E287" s="8" t="str">
        <f t="shared" si="13"/>
        <v>70.954</v>
      </c>
      <c r="F287" t="str">
        <f t="shared" si="12"/>
        <v>Nee</v>
      </c>
      <c r="G287" s="7">
        <v>0</v>
      </c>
      <c r="H287" s="7" t="s">
        <v>411</v>
      </c>
      <c r="I287" s="7" t="str">
        <f t="shared" si="14"/>
        <v/>
      </c>
    </row>
    <row r="288" spans="2:9" ht="15" customHeight="1" x14ac:dyDescent="0.25">
      <c r="B288" s="3" t="s">
        <v>359</v>
      </c>
      <c r="C288" s="5">
        <v>955</v>
      </c>
      <c r="D288" t="s">
        <v>409</v>
      </c>
      <c r="E288" s="8" t="str">
        <f t="shared" si="13"/>
        <v>70.955</v>
      </c>
      <c r="F288" t="str">
        <f t="shared" si="12"/>
        <v>Nee</v>
      </c>
      <c r="G288" s="7">
        <v>0</v>
      </c>
      <c r="H288" s="7" t="s">
        <v>411</v>
      </c>
      <c r="I288" s="7" t="str">
        <f t="shared" si="14"/>
        <v/>
      </c>
    </row>
    <row r="289" spans="2:9" ht="15" customHeight="1" x14ac:dyDescent="0.25">
      <c r="B289" s="3" t="s">
        <v>360</v>
      </c>
      <c r="C289" s="5">
        <v>956</v>
      </c>
      <c r="D289" t="s">
        <v>409</v>
      </c>
      <c r="E289" s="8" t="str">
        <f t="shared" si="13"/>
        <v>70.956</v>
      </c>
      <c r="F289" t="str">
        <f t="shared" si="12"/>
        <v>Nee</v>
      </c>
      <c r="G289" s="7">
        <v>0</v>
      </c>
      <c r="H289" s="7" t="s">
        <v>411</v>
      </c>
      <c r="I289" s="7" t="str">
        <f t="shared" si="14"/>
        <v/>
      </c>
    </row>
    <row r="290" spans="2:9" ht="15" customHeight="1" x14ac:dyDescent="0.25">
      <c r="B290" s="3" t="s">
        <v>361</v>
      </c>
      <c r="C290" s="5">
        <v>957</v>
      </c>
      <c r="D290" t="s">
        <v>409</v>
      </c>
      <c r="E290" s="8" t="str">
        <f t="shared" si="13"/>
        <v>70.957</v>
      </c>
      <c r="F290" t="str">
        <f t="shared" si="12"/>
        <v>Nee</v>
      </c>
      <c r="G290" s="7">
        <v>0</v>
      </c>
      <c r="H290" s="7" t="s">
        <v>411</v>
      </c>
      <c r="I290" s="7" t="str">
        <f t="shared" si="14"/>
        <v/>
      </c>
    </row>
    <row r="291" spans="2:9" ht="15" customHeight="1" x14ac:dyDescent="0.25">
      <c r="B291" s="3" t="s">
        <v>362</v>
      </c>
      <c r="C291" s="5">
        <v>958</v>
      </c>
      <c r="D291" t="s">
        <v>409</v>
      </c>
      <c r="E291" s="8" t="str">
        <f t="shared" si="13"/>
        <v>70.958</v>
      </c>
      <c r="F291" t="str">
        <f t="shared" si="12"/>
        <v>Nee</v>
      </c>
      <c r="G291" s="7">
        <v>0</v>
      </c>
      <c r="H291" s="7" t="s">
        <v>411</v>
      </c>
      <c r="I291" s="7" t="str">
        <f t="shared" si="14"/>
        <v/>
      </c>
    </row>
    <row r="292" spans="2:9" ht="15" customHeight="1" x14ac:dyDescent="0.25">
      <c r="B292" s="3" t="s">
        <v>363</v>
      </c>
      <c r="C292" s="5">
        <v>959</v>
      </c>
      <c r="D292" t="s">
        <v>409</v>
      </c>
      <c r="E292" s="8" t="str">
        <f t="shared" si="13"/>
        <v>70.959</v>
      </c>
      <c r="F292" t="str">
        <f t="shared" si="12"/>
        <v>Nee</v>
      </c>
      <c r="G292" s="7">
        <v>0</v>
      </c>
      <c r="H292" s="7" t="s">
        <v>411</v>
      </c>
      <c r="I292" s="7" t="str">
        <f t="shared" si="14"/>
        <v/>
      </c>
    </row>
    <row r="293" spans="2:9" ht="15" customHeight="1" x14ac:dyDescent="0.25">
      <c r="B293" s="3" t="s">
        <v>364</v>
      </c>
      <c r="C293" s="5">
        <v>960</v>
      </c>
      <c r="D293" t="s">
        <v>409</v>
      </c>
      <c r="E293" s="8" t="str">
        <f t="shared" si="13"/>
        <v>70.960</v>
      </c>
      <c r="F293" t="str">
        <f t="shared" si="12"/>
        <v>Nee</v>
      </c>
      <c r="G293" s="7">
        <v>0</v>
      </c>
      <c r="H293" s="7" t="s">
        <v>411</v>
      </c>
      <c r="I293" s="7" t="str">
        <f t="shared" si="14"/>
        <v/>
      </c>
    </row>
    <row r="294" spans="2:9" ht="15" customHeight="1" x14ac:dyDescent="0.25">
      <c r="B294" s="3" t="s">
        <v>365</v>
      </c>
      <c r="C294" s="5">
        <v>961</v>
      </c>
      <c r="D294" t="s">
        <v>409</v>
      </c>
      <c r="E294" s="8" t="str">
        <f t="shared" si="13"/>
        <v>70.961</v>
      </c>
      <c r="F294" t="str">
        <f t="shared" si="12"/>
        <v>Nee</v>
      </c>
      <c r="G294" s="7">
        <v>0</v>
      </c>
      <c r="H294" s="7" t="s">
        <v>411</v>
      </c>
      <c r="I294" s="7" t="str">
        <f t="shared" si="14"/>
        <v/>
      </c>
    </row>
    <row r="295" spans="2:9" ht="15" customHeight="1" x14ac:dyDescent="0.25">
      <c r="B295" s="3" t="s">
        <v>366</v>
      </c>
      <c r="C295" s="5">
        <v>962</v>
      </c>
      <c r="D295" t="s">
        <v>409</v>
      </c>
      <c r="E295" s="8" t="str">
        <f t="shared" si="13"/>
        <v>70.962</v>
      </c>
      <c r="F295" t="str">
        <f t="shared" si="12"/>
        <v>Nee</v>
      </c>
      <c r="G295" s="7">
        <v>0</v>
      </c>
      <c r="H295" s="7" t="s">
        <v>411</v>
      </c>
      <c r="I295" s="7" t="str">
        <f t="shared" si="14"/>
        <v/>
      </c>
    </row>
    <row r="296" spans="2:9" ht="15" customHeight="1" x14ac:dyDescent="0.25">
      <c r="B296" s="3" t="s">
        <v>367</v>
      </c>
      <c r="C296" s="5">
        <v>963</v>
      </c>
      <c r="D296" t="s">
        <v>409</v>
      </c>
      <c r="E296" s="8" t="str">
        <f t="shared" si="13"/>
        <v>70.963</v>
      </c>
      <c r="F296" t="str">
        <f t="shared" si="12"/>
        <v>Nee</v>
      </c>
      <c r="G296" s="7">
        <v>0</v>
      </c>
      <c r="H296" s="7" t="s">
        <v>411</v>
      </c>
      <c r="I296" s="7" t="str">
        <f t="shared" si="14"/>
        <v/>
      </c>
    </row>
    <row r="297" spans="2:9" ht="15" customHeight="1" x14ac:dyDescent="0.25">
      <c r="B297" s="3" t="s">
        <v>368</v>
      </c>
      <c r="C297" s="5">
        <v>964</v>
      </c>
      <c r="D297" t="s">
        <v>409</v>
      </c>
      <c r="E297" s="8" t="str">
        <f t="shared" si="13"/>
        <v>70.964</v>
      </c>
      <c r="F297" t="str">
        <f t="shared" si="12"/>
        <v>Nee</v>
      </c>
      <c r="G297" s="7">
        <v>0</v>
      </c>
      <c r="H297" s="7" t="s">
        <v>411</v>
      </c>
      <c r="I297" s="7" t="str">
        <f t="shared" si="14"/>
        <v/>
      </c>
    </row>
    <row r="298" spans="2:9" ht="15" customHeight="1" x14ac:dyDescent="0.25">
      <c r="B298" s="3" t="s">
        <v>369</v>
      </c>
      <c r="C298" s="5">
        <v>965</v>
      </c>
      <c r="D298" t="s">
        <v>409</v>
      </c>
      <c r="E298" s="8" t="str">
        <f t="shared" si="13"/>
        <v>70.965</v>
      </c>
      <c r="F298" t="str">
        <f t="shared" si="12"/>
        <v>Nee</v>
      </c>
      <c r="G298" s="7">
        <v>0</v>
      </c>
      <c r="H298" s="7" t="s">
        <v>411</v>
      </c>
      <c r="I298" s="7" t="str">
        <f t="shared" si="14"/>
        <v/>
      </c>
    </row>
    <row r="299" spans="2:9" ht="15" customHeight="1" x14ac:dyDescent="0.25">
      <c r="B299" s="3" t="s">
        <v>370</v>
      </c>
      <c r="C299" s="5">
        <v>966</v>
      </c>
      <c r="D299" t="s">
        <v>409</v>
      </c>
      <c r="E299" s="8" t="str">
        <f t="shared" si="13"/>
        <v>70.966</v>
      </c>
      <c r="F299" t="str">
        <f t="shared" si="12"/>
        <v>Nee</v>
      </c>
      <c r="G299" s="7">
        <v>0</v>
      </c>
      <c r="H299" s="7" t="s">
        <v>411</v>
      </c>
      <c r="I299" s="7" t="str">
        <f t="shared" si="14"/>
        <v/>
      </c>
    </row>
    <row r="300" spans="2:9" ht="15" customHeight="1" x14ac:dyDescent="0.25">
      <c r="B300" s="3" t="s">
        <v>371</v>
      </c>
      <c r="C300" s="5">
        <v>967</v>
      </c>
      <c r="D300" t="s">
        <v>409</v>
      </c>
      <c r="E300" s="8" t="str">
        <f t="shared" si="13"/>
        <v>70.967</v>
      </c>
      <c r="F300" t="str">
        <f t="shared" si="12"/>
        <v>Nee</v>
      </c>
      <c r="G300" s="7">
        <v>0</v>
      </c>
      <c r="H300" s="7" t="s">
        <v>411</v>
      </c>
      <c r="I300" s="7" t="str">
        <f t="shared" si="14"/>
        <v/>
      </c>
    </row>
    <row r="301" spans="2:9" ht="15" customHeight="1" x14ac:dyDescent="0.25">
      <c r="B301" s="3" t="s">
        <v>372</v>
      </c>
      <c r="C301" s="5">
        <v>968</v>
      </c>
      <c r="D301" t="s">
        <v>409</v>
      </c>
      <c r="E301" s="8" t="str">
        <f t="shared" si="13"/>
        <v>70.968</v>
      </c>
      <c r="F301" t="str">
        <f t="shared" si="12"/>
        <v>Nee</v>
      </c>
      <c r="G301" s="7">
        <v>0</v>
      </c>
      <c r="H301" s="7" t="s">
        <v>411</v>
      </c>
      <c r="I301" s="7" t="str">
        <f t="shared" si="14"/>
        <v/>
      </c>
    </row>
    <row r="302" spans="2:9" ht="15" customHeight="1" x14ac:dyDescent="0.25">
      <c r="B302" s="3" t="s">
        <v>373</v>
      </c>
      <c r="C302" s="5">
        <v>969</v>
      </c>
      <c r="D302" t="s">
        <v>409</v>
      </c>
      <c r="E302" s="8" t="str">
        <f t="shared" si="13"/>
        <v>70.969</v>
      </c>
      <c r="F302" t="str">
        <f t="shared" si="12"/>
        <v>Nee</v>
      </c>
      <c r="G302" s="7">
        <v>0</v>
      </c>
      <c r="H302" s="7" t="s">
        <v>411</v>
      </c>
      <c r="I302" s="7" t="str">
        <f t="shared" si="14"/>
        <v/>
      </c>
    </row>
    <row r="303" spans="2:9" ht="15" customHeight="1" x14ac:dyDescent="0.25">
      <c r="B303" s="3" t="s">
        <v>374</v>
      </c>
      <c r="C303" s="5">
        <v>970</v>
      </c>
      <c r="D303" t="s">
        <v>409</v>
      </c>
      <c r="E303" s="8" t="str">
        <f t="shared" si="13"/>
        <v>70.970</v>
      </c>
      <c r="F303" t="str">
        <f t="shared" si="12"/>
        <v>Nee</v>
      </c>
      <c r="G303" s="7">
        <v>0</v>
      </c>
      <c r="H303" s="7" t="s">
        <v>411</v>
      </c>
      <c r="I303" s="7" t="str">
        <f t="shared" si="14"/>
        <v/>
      </c>
    </row>
    <row r="304" spans="2:9" ht="15" customHeight="1" x14ac:dyDescent="0.25">
      <c r="B304" s="3" t="s">
        <v>375</v>
      </c>
      <c r="C304" s="5">
        <v>971</v>
      </c>
      <c r="D304" t="s">
        <v>409</v>
      </c>
      <c r="E304" s="8" t="str">
        <f t="shared" si="13"/>
        <v>70.971</v>
      </c>
      <c r="F304" t="str">
        <f t="shared" si="12"/>
        <v>Nee</v>
      </c>
      <c r="G304" s="7">
        <v>0</v>
      </c>
      <c r="H304" s="7" t="s">
        <v>411</v>
      </c>
      <c r="I304" s="7" t="str">
        <f t="shared" si="14"/>
        <v/>
      </c>
    </row>
    <row r="305" spans="2:9" ht="15" customHeight="1" x14ac:dyDescent="0.25">
      <c r="B305" s="3" t="s">
        <v>376</v>
      </c>
      <c r="C305" s="5">
        <v>972</v>
      </c>
      <c r="D305" t="s">
        <v>409</v>
      </c>
      <c r="E305" s="8" t="str">
        <f t="shared" si="13"/>
        <v>70.972</v>
      </c>
      <c r="F305" t="str">
        <f t="shared" si="12"/>
        <v>Nee</v>
      </c>
      <c r="G305" s="7">
        <v>0</v>
      </c>
      <c r="H305" s="7" t="s">
        <v>411</v>
      </c>
      <c r="I305" s="7" t="str">
        <f t="shared" si="14"/>
        <v/>
      </c>
    </row>
    <row r="306" spans="2:9" ht="15" customHeight="1" x14ac:dyDescent="0.25">
      <c r="B306" s="3" t="s">
        <v>377</v>
      </c>
      <c r="C306" s="5">
        <v>973</v>
      </c>
      <c r="D306" t="s">
        <v>409</v>
      </c>
      <c r="E306" s="8" t="str">
        <f t="shared" si="13"/>
        <v>70.973</v>
      </c>
      <c r="F306" t="str">
        <f t="shared" si="12"/>
        <v>Nee</v>
      </c>
      <c r="G306" s="7">
        <v>0</v>
      </c>
      <c r="H306" s="7" t="s">
        <v>411</v>
      </c>
      <c r="I306" s="7" t="str">
        <f t="shared" si="14"/>
        <v/>
      </c>
    </row>
    <row r="307" spans="2:9" ht="15" customHeight="1" x14ac:dyDescent="0.25">
      <c r="B307" s="3" t="s">
        <v>378</v>
      </c>
      <c r="C307" s="5">
        <v>974</v>
      </c>
      <c r="D307" t="s">
        <v>409</v>
      </c>
      <c r="E307" s="8" t="str">
        <f t="shared" si="13"/>
        <v>70.974</v>
      </c>
      <c r="F307" t="str">
        <f t="shared" si="12"/>
        <v>Nee</v>
      </c>
      <c r="G307" s="7">
        <v>0</v>
      </c>
      <c r="H307" s="7" t="s">
        <v>411</v>
      </c>
      <c r="I307" s="7" t="str">
        <f t="shared" si="14"/>
        <v/>
      </c>
    </row>
    <row r="308" spans="2:9" ht="15" customHeight="1" x14ac:dyDescent="0.25">
      <c r="B308" s="3" t="s">
        <v>379</v>
      </c>
      <c r="C308" s="5">
        <v>975</v>
      </c>
      <c r="D308" t="s">
        <v>409</v>
      </c>
      <c r="E308" s="8" t="str">
        <f t="shared" si="13"/>
        <v>70.975</v>
      </c>
      <c r="F308" t="str">
        <f t="shared" si="12"/>
        <v>Nee</v>
      </c>
      <c r="G308" s="7">
        <v>0</v>
      </c>
      <c r="H308" s="7" t="s">
        <v>411</v>
      </c>
      <c r="I308" s="7" t="str">
        <f t="shared" si="14"/>
        <v/>
      </c>
    </row>
    <row r="309" spans="2:9" ht="15" customHeight="1" x14ac:dyDescent="0.25">
      <c r="B309" s="3" t="s">
        <v>380</v>
      </c>
      <c r="C309" s="5">
        <v>976</v>
      </c>
      <c r="D309" t="s">
        <v>409</v>
      </c>
      <c r="E309" s="8" t="str">
        <f t="shared" si="13"/>
        <v>70.976</v>
      </c>
      <c r="F309" t="str">
        <f t="shared" si="12"/>
        <v>Nee</v>
      </c>
      <c r="G309" s="7">
        <v>0</v>
      </c>
      <c r="H309" s="7" t="s">
        <v>411</v>
      </c>
      <c r="I309" s="7" t="str">
        <f t="shared" si="14"/>
        <v/>
      </c>
    </row>
    <row r="310" spans="2:9" ht="15" customHeight="1" x14ac:dyDescent="0.25">
      <c r="B310" s="3" t="s">
        <v>381</v>
      </c>
      <c r="C310" s="5">
        <v>977</v>
      </c>
      <c r="D310" t="s">
        <v>409</v>
      </c>
      <c r="E310" s="8" t="str">
        <f t="shared" si="13"/>
        <v>70.977</v>
      </c>
      <c r="F310" t="str">
        <f t="shared" si="12"/>
        <v>Nee</v>
      </c>
      <c r="G310" s="7">
        <v>0</v>
      </c>
      <c r="H310" s="7" t="s">
        <v>411</v>
      </c>
      <c r="I310" s="7" t="str">
        <f t="shared" si="14"/>
        <v/>
      </c>
    </row>
    <row r="311" spans="2:9" ht="15" customHeight="1" x14ac:dyDescent="0.25">
      <c r="B311" s="3" t="s">
        <v>382</v>
      </c>
      <c r="C311" s="5">
        <v>978</v>
      </c>
      <c r="D311" t="s">
        <v>409</v>
      </c>
      <c r="E311" s="8" t="str">
        <f t="shared" si="13"/>
        <v>70.978</v>
      </c>
      <c r="F311" t="str">
        <f t="shared" si="12"/>
        <v>Nee</v>
      </c>
      <c r="G311" s="7">
        <v>0</v>
      </c>
      <c r="H311" s="7" t="s">
        <v>411</v>
      </c>
      <c r="I311" s="7" t="str">
        <f t="shared" si="14"/>
        <v/>
      </c>
    </row>
    <row r="312" spans="2:9" ht="15" customHeight="1" x14ac:dyDescent="0.25">
      <c r="B312" s="3" t="s">
        <v>383</v>
      </c>
      <c r="C312" s="5">
        <v>979</v>
      </c>
      <c r="D312" t="s">
        <v>409</v>
      </c>
      <c r="E312" s="8" t="str">
        <f t="shared" si="13"/>
        <v>70.979</v>
      </c>
      <c r="F312" t="str">
        <f t="shared" si="12"/>
        <v>Nee</v>
      </c>
      <c r="G312" s="7">
        <v>0</v>
      </c>
      <c r="H312" s="7" t="s">
        <v>411</v>
      </c>
      <c r="I312" s="7" t="str">
        <f t="shared" si="14"/>
        <v/>
      </c>
    </row>
    <row r="313" spans="2:9" ht="15" customHeight="1" x14ac:dyDescent="0.25">
      <c r="B313" s="3" t="s">
        <v>384</v>
      </c>
      <c r="C313" s="5">
        <v>980</v>
      </c>
      <c r="D313" t="s">
        <v>409</v>
      </c>
      <c r="E313" s="8" t="str">
        <f t="shared" si="13"/>
        <v>70.980</v>
      </c>
      <c r="F313" t="str">
        <f t="shared" si="12"/>
        <v>Nee</v>
      </c>
      <c r="G313" s="7">
        <v>0</v>
      </c>
      <c r="H313" s="7" t="s">
        <v>411</v>
      </c>
      <c r="I313" s="7" t="str">
        <f t="shared" si="14"/>
        <v/>
      </c>
    </row>
    <row r="314" spans="2:9" ht="15" customHeight="1" x14ac:dyDescent="0.25">
      <c r="B314" s="3" t="s">
        <v>385</v>
      </c>
      <c r="C314" s="5">
        <v>981</v>
      </c>
      <c r="D314" t="s">
        <v>409</v>
      </c>
      <c r="E314" s="8" t="str">
        <f t="shared" si="13"/>
        <v>70.981</v>
      </c>
      <c r="F314" t="str">
        <f t="shared" si="12"/>
        <v>Nee</v>
      </c>
      <c r="G314" s="7">
        <v>0</v>
      </c>
      <c r="H314" s="7" t="s">
        <v>411</v>
      </c>
      <c r="I314" s="7" t="str">
        <f t="shared" si="14"/>
        <v/>
      </c>
    </row>
    <row r="315" spans="2:9" ht="15" customHeight="1" x14ac:dyDescent="0.25">
      <c r="B315" s="3" t="s">
        <v>386</v>
      </c>
      <c r="C315" s="5">
        <v>982</v>
      </c>
      <c r="D315" t="s">
        <v>409</v>
      </c>
      <c r="E315" s="8" t="str">
        <f t="shared" si="13"/>
        <v>70.982</v>
      </c>
      <c r="F315" t="str">
        <f t="shared" si="12"/>
        <v>Nee</v>
      </c>
      <c r="G315" s="7">
        <v>0</v>
      </c>
      <c r="H315" s="7" t="s">
        <v>411</v>
      </c>
      <c r="I315" s="7" t="str">
        <f t="shared" si="14"/>
        <v/>
      </c>
    </row>
    <row r="316" spans="2:9" ht="15" customHeight="1" x14ac:dyDescent="0.25">
      <c r="B316" s="3" t="s">
        <v>387</v>
      </c>
      <c r="C316" s="5">
        <v>983</v>
      </c>
      <c r="D316" t="s">
        <v>409</v>
      </c>
      <c r="E316" s="8" t="str">
        <f t="shared" si="13"/>
        <v>70.983</v>
      </c>
      <c r="F316" t="str">
        <f t="shared" si="12"/>
        <v>Nee</v>
      </c>
      <c r="G316" s="7">
        <v>0</v>
      </c>
      <c r="H316" s="7" t="s">
        <v>411</v>
      </c>
      <c r="I316" s="7" t="str">
        <f t="shared" si="14"/>
        <v/>
      </c>
    </row>
    <row r="317" spans="2:9" ht="15" customHeight="1" x14ac:dyDescent="0.25">
      <c r="B317" s="3" t="s">
        <v>388</v>
      </c>
      <c r="C317" s="5">
        <v>984</v>
      </c>
      <c r="D317" t="s">
        <v>409</v>
      </c>
      <c r="E317" s="8" t="str">
        <f t="shared" si="13"/>
        <v>70.984</v>
      </c>
      <c r="F317" t="str">
        <f t="shared" si="12"/>
        <v>Nee</v>
      </c>
      <c r="G317" s="7">
        <v>0</v>
      </c>
      <c r="H317" s="7" t="s">
        <v>411</v>
      </c>
      <c r="I317" s="7" t="str">
        <f t="shared" si="14"/>
        <v/>
      </c>
    </row>
    <row r="318" spans="2:9" ht="15" customHeight="1" x14ac:dyDescent="0.25">
      <c r="B318" s="3" t="s">
        <v>389</v>
      </c>
      <c r="C318" s="5">
        <v>985</v>
      </c>
      <c r="D318" t="s">
        <v>409</v>
      </c>
      <c r="E318" s="8" t="str">
        <f t="shared" si="13"/>
        <v>70.985</v>
      </c>
      <c r="F318" t="str">
        <f t="shared" si="12"/>
        <v>Nee</v>
      </c>
      <c r="G318" s="7">
        <v>0</v>
      </c>
      <c r="H318" s="7" t="s">
        <v>411</v>
      </c>
      <c r="I318" s="7" t="str">
        <f t="shared" si="14"/>
        <v/>
      </c>
    </row>
    <row r="319" spans="2:9" ht="15" customHeight="1" x14ac:dyDescent="0.25">
      <c r="B319" s="3" t="s">
        <v>390</v>
      </c>
      <c r="C319" s="5">
        <v>986</v>
      </c>
      <c r="D319" t="s">
        <v>409</v>
      </c>
      <c r="E319" s="8" t="str">
        <f t="shared" si="13"/>
        <v>70.986</v>
      </c>
      <c r="F319" t="str">
        <f t="shared" si="12"/>
        <v>Nee</v>
      </c>
      <c r="G319" s="7">
        <v>0</v>
      </c>
      <c r="H319" s="7" t="s">
        <v>411</v>
      </c>
      <c r="I319" s="7" t="str">
        <f t="shared" si="14"/>
        <v/>
      </c>
    </row>
    <row r="320" spans="2:9" ht="15" customHeight="1" x14ac:dyDescent="0.25">
      <c r="B320" s="3" t="s">
        <v>391</v>
      </c>
      <c r="C320" s="5">
        <v>987</v>
      </c>
      <c r="D320" t="s">
        <v>409</v>
      </c>
      <c r="E320" s="8" t="str">
        <f t="shared" si="13"/>
        <v>70.987</v>
      </c>
      <c r="F320" t="str">
        <f t="shared" si="12"/>
        <v>Nee</v>
      </c>
      <c r="G320" s="7">
        <v>0</v>
      </c>
      <c r="H320" s="7" t="s">
        <v>411</v>
      </c>
      <c r="I320" s="7" t="str">
        <f t="shared" si="14"/>
        <v/>
      </c>
    </row>
    <row r="321" spans="2:9" ht="15" customHeight="1" x14ac:dyDescent="0.25">
      <c r="B321" s="3" t="s">
        <v>392</v>
      </c>
      <c r="C321" s="5">
        <v>988</v>
      </c>
      <c r="D321" t="s">
        <v>409</v>
      </c>
      <c r="E321" s="8" t="str">
        <f t="shared" si="13"/>
        <v>70.988</v>
      </c>
      <c r="F321" t="str">
        <f t="shared" si="12"/>
        <v>Nee</v>
      </c>
      <c r="G321" s="7">
        <v>0</v>
      </c>
      <c r="H321" s="7" t="s">
        <v>411</v>
      </c>
      <c r="I321" s="7" t="str">
        <f t="shared" si="14"/>
        <v/>
      </c>
    </row>
    <row r="322" spans="2:9" ht="15" customHeight="1" x14ac:dyDescent="0.25">
      <c r="B322" s="3" t="s">
        <v>393</v>
      </c>
      <c r="C322" s="5">
        <v>989</v>
      </c>
      <c r="D322" t="s">
        <v>409</v>
      </c>
      <c r="E322" s="8" t="str">
        <f t="shared" si="13"/>
        <v>70.989</v>
      </c>
      <c r="F322" t="str">
        <f t="shared" si="12"/>
        <v>Nee</v>
      </c>
      <c r="G322" s="7">
        <v>0</v>
      </c>
      <c r="H322" s="7" t="s">
        <v>411</v>
      </c>
      <c r="I322" s="7" t="str">
        <f t="shared" si="14"/>
        <v/>
      </c>
    </row>
    <row r="323" spans="2:9" ht="15" customHeight="1" x14ac:dyDescent="0.25">
      <c r="B323" s="3" t="s">
        <v>394</v>
      </c>
      <c r="C323" s="5">
        <v>990</v>
      </c>
      <c r="D323" t="s">
        <v>409</v>
      </c>
      <c r="E323" s="8" t="str">
        <f t="shared" si="13"/>
        <v>70.990</v>
      </c>
      <c r="F323" t="str">
        <f t="shared" si="12"/>
        <v>Nee</v>
      </c>
      <c r="G323" s="7">
        <v>0</v>
      </c>
      <c r="H323" s="7" t="s">
        <v>411</v>
      </c>
      <c r="I323" s="7" t="str">
        <f t="shared" si="14"/>
        <v/>
      </c>
    </row>
    <row r="324" spans="2:9" ht="15" customHeight="1" x14ac:dyDescent="0.25">
      <c r="B324" s="3" t="s">
        <v>395</v>
      </c>
      <c r="C324" s="5">
        <v>991</v>
      </c>
      <c r="D324" t="s">
        <v>409</v>
      </c>
      <c r="E324" s="8" t="str">
        <f t="shared" si="13"/>
        <v>70.991</v>
      </c>
      <c r="F324" t="str">
        <f t="shared" si="12"/>
        <v>Nee</v>
      </c>
      <c r="G324" s="7">
        <v>0</v>
      </c>
      <c r="H324" s="7" t="s">
        <v>411</v>
      </c>
      <c r="I324" s="7" t="str">
        <f t="shared" si="14"/>
        <v/>
      </c>
    </row>
    <row r="325" spans="2:9" ht="15" customHeight="1" x14ac:dyDescent="0.25">
      <c r="B325" s="3" t="s">
        <v>396</v>
      </c>
      <c r="C325" s="5">
        <v>992</v>
      </c>
      <c r="D325" t="s">
        <v>409</v>
      </c>
      <c r="E325" s="8" t="str">
        <f t="shared" si="13"/>
        <v>70.992</v>
      </c>
      <c r="F325" t="str">
        <f t="shared" si="12"/>
        <v>Nee</v>
      </c>
      <c r="G325" s="7">
        <v>0</v>
      </c>
      <c r="H325" s="7" t="s">
        <v>411</v>
      </c>
      <c r="I325" s="7" t="str">
        <f t="shared" si="14"/>
        <v/>
      </c>
    </row>
    <row r="326" spans="2:9" ht="15" customHeight="1" x14ac:dyDescent="0.25">
      <c r="B326" s="3" t="s">
        <v>397</v>
      </c>
      <c r="C326" s="5">
        <v>993</v>
      </c>
      <c r="D326" t="s">
        <v>409</v>
      </c>
      <c r="E326" s="8" t="str">
        <f t="shared" si="13"/>
        <v>70.993</v>
      </c>
      <c r="F326" t="str">
        <f t="shared" si="12"/>
        <v>Nee</v>
      </c>
      <c r="G326" s="7">
        <v>0</v>
      </c>
      <c r="H326" s="7" t="s">
        <v>411</v>
      </c>
      <c r="I326" s="7" t="str">
        <f t="shared" si="14"/>
        <v/>
      </c>
    </row>
    <row r="327" spans="2:9" ht="15" customHeight="1" x14ac:dyDescent="0.25">
      <c r="B327" s="3" t="s">
        <v>398</v>
      </c>
      <c r="C327" s="5">
        <v>994</v>
      </c>
      <c r="D327" t="s">
        <v>409</v>
      </c>
      <c r="E327" s="8" t="str">
        <f t="shared" si="13"/>
        <v>70.994</v>
      </c>
      <c r="F327" t="str">
        <f t="shared" si="12"/>
        <v>Nee</v>
      </c>
      <c r="G327" s="7">
        <v>0</v>
      </c>
      <c r="H327" s="7" t="s">
        <v>411</v>
      </c>
      <c r="I327" s="7" t="str">
        <f t="shared" si="14"/>
        <v/>
      </c>
    </row>
    <row r="328" spans="2:9" ht="15" customHeight="1" x14ac:dyDescent="0.25">
      <c r="B328" s="3" t="s">
        <v>399</v>
      </c>
      <c r="C328" s="5">
        <v>995</v>
      </c>
      <c r="D328" t="s">
        <v>409</v>
      </c>
      <c r="E328" s="8" t="str">
        <f t="shared" si="13"/>
        <v>70.995</v>
      </c>
      <c r="F328" t="str">
        <f t="shared" ref="F328:F391" si="15">IF(G328="","",IF(G328&gt;0,"Ja","Nee"))</f>
        <v>Nee</v>
      </c>
      <c r="G328" s="7">
        <v>0</v>
      </c>
      <c r="H328" s="7" t="s">
        <v>411</v>
      </c>
      <c r="I328" s="7" t="str">
        <f t="shared" si="14"/>
        <v/>
      </c>
    </row>
    <row r="329" spans="2:9" ht="15" customHeight="1" x14ac:dyDescent="0.25">
      <c r="B329" s="3" t="s">
        <v>400</v>
      </c>
      <c r="C329" s="5">
        <v>996</v>
      </c>
      <c r="D329" t="s">
        <v>409</v>
      </c>
      <c r="E329" s="8" t="str">
        <f t="shared" ref="E329:E392" si="16">IF(D329="Model Air","71."&amp;C329,IF(D329="Model Color","70."&amp;C329,IF(D329="Metal Color","77."&amp;C329,IF(D329="Primer 200ml","74."&amp;C329,IF(D329="Primer 60ml","73."&amp;C329,IF(D329="Primer 17ml","70."&amp;C329,IF(D329="Enamel Revell","REV-"&amp;VALUE(C329),"")))))))</f>
        <v>70.996</v>
      </c>
      <c r="F329" t="str">
        <f t="shared" si="15"/>
        <v>Nee</v>
      </c>
      <c r="G329" s="7">
        <v>0</v>
      </c>
      <c r="H329" s="7" t="s">
        <v>411</v>
      </c>
      <c r="I329" s="7" t="str">
        <f t="shared" ref="I329:I392" si="17">IF(H329="Ja",IF(J329="",1,J329),"")</f>
        <v/>
      </c>
    </row>
    <row r="330" spans="2:9" ht="15" customHeight="1" x14ac:dyDescent="0.25">
      <c r="B330" s="3" t="s">
        <v>401</v>
      </c>
      <c r="C330" s="5">
        <v>997</v>
      </c>
      <c r="D330" t="s">
        <v>409</v>
      </c>
      <c r="E330" s="8" t="str">
        <f t="shared" si="16"/>
        <v>70.997</v>
      </c>
      <c r="F330" t="str">
        <f t="shared" si="15"/>
        <v>Nee</v>
      </c>
      <c r="G330" s="7">
        <v>0</v>
      </c>
      <c r="H330" s="7" t="s">
        <v>411</v>
      </c>
      <c r="I330" s="7" t="str">
        <f t="shared" si="17"/>
        <v/>
      </c>
    </row>
    <row r="331" spans="2:9" ht="15" customHeight="1" x14ac:dyDescent="0.25">
      <c r="B331" s="3" t="s">
        <v>402</v>
      </c>
      <c r="C331" s="5">
        <v>998</v>
      </c>
      <c r="D331" t="s">
        <v>409</v>
      </c>
      <c r="E331" s="8" t="str">
        <f t="shared" si="16"/>
        <v>70.998</v>
      </c>
      <c r="F331" t="str">
        <f t="shared" si="15"/>
        <v>Nee</v>
      </c>
      <c r="G331" s="7">
        <v>0</v>
      </c>
      <c r="H331" s="7" t="s">
        <v>411</v>
      </c>
      <c r="I331" s="7" t="str">
        <f t="shared" si="17"/>
        <v/>
      </c>
    </row>
    <row r="332" spans="2:9" ht="15" customHeight="1" x14ac:dyDescent="0.25">
      <c r="B332" s="3" t="s">
        <v>403</v>
      </c>
      <c r="C332" s="5">
        <v>999</v>
      </c>
      <c r="D332" t="s">
        <v>409</v>
      </c>
      <c r="E332" s="8" t="str">
        <f t="shared" si="16"/>
        <v>70.999</v>
      </c>
      <c r="F332" t="str">
        <f t="shared" si="15"/>
        <v>Nee</v>
      </c>
      <c r="G332" s="7">
        <v>0</v>
      </c>
      <c r="H332" s="7" t="s">
        <v>411</v>
      </c>
      <c r="I332" s="7" t="str">
        <f t="shared" si="17"/>
        <v/>
      </c>
    </row>
    <row r="333" spans="2:9" ht="15" customHeight="1" x14ac:dyDescent="0.25">
      <c r="B333" s="9" t="s">
        <v>415</v>
      </c>
      <c r="C333" s="10">
        <v>701</v>
      </c>
      <c r="D333" t="s">
        <v>416</v>
      </c>
      <c r="E333" s="8" t="str">
        <f t="shared" si="16"/>
        <v>77.701</v>
      </c>
      <c r="F333" t="str">
        <f t="shared" si="15"/>
        <v>Ja</v>
      </c>
      <c r="G333" s="7">
        <v>1</v>
      </c>
      <c r="H333" s="7" t="s">
        <v>411</v>
      </c>
      <c r="I333" s="7" t="str">
        <f t="shared" si="17"/>
        <v/>
      </c>
    </row>
    <row r="334" spans="2:9" ht="15" customHeight="1" x14ac:dyDescent="0.25">
      <c r="B334" s="9" t="s">
        <v>417</v>
      </c>
      <c r="C334" s="10">
        <v>703</v>
      </c>
      <c r="D334" t="s">
        <v>416</v>
      </c>
      <c r="E334" s="8" t="str">
        <f t="shared" si="16"/>
        <v>77.703</v>
      </c>
      <c r="F334" t="str">
        <f t="shared" si="15"/>
        <v>Ja</v>
      </c>
      <c r="G334" s="7">
        <v>1</v>
      </c>
      <c r="H334" s="7" t="s">
        <v>411</v>
      </c>
      <c r="I334" s="7" t="str">
        <f t="shared" si="17"/>
        <v/>
      </c>
    </row>
    <row r="335" spans="2:9" ht="15" customHeight="1" x14ac:dyDescent="0.25">
      <c r="B335" s="9" t="s">
        <v>418</v>
      </c>
      <c r="C335" s="10">
        <v>712</v>
      </c>
      <c r="D335" t="s">
        <v>416</v>
      </c>
      <c r="E335" s="8" t="str">
        <f t="shared" si="16"/>
        <v>77.712</v>
      </c>
      <c r="F335" t="str">
        <f t="shared" si="15"/>
        <v>Ja</v>
      </c>
      <c r="G335" s="7">
        <v>1</v>
      </c>
      <c r="H335" s="7" t="s">
        <v>411</v>
      </c>
      <c r="I335" s="7" t="str">
        <f t="shared" si="17"/>
        <v/>
      </c>
    </row>
    <row r="336" spans="2:9" ht="15" customHeight="1" x14ac:dyDescent="0.25">
      <c r="B336" s="9" t="s">
        <v>419</v>
      </c>
      <c r="C336" s="10">
        <v>723</v>
      </c>
      <c r="D336" t="s">
        <v>416</v>
      </c>
      <c r="E336" s="8" t="str">
        <f t="shared" si="16"/>
        <v>77.723</v>
      </c>
      <c r="F336" t="str">
        <f t="shared" si="15"/>
        <v>Ja</v>
      </c>
      <c r="G336" s="7">
        <v>1</v>
      </c>
      <c r="H336" s="7" t="s">
        <v>411</v>
      </c>
      <c r="I336" s="7" t="str">
        <f t="shared" si="17"/>
        <v/>
      </c>
    </row>
    <row r="337" spans="2:9" x14ac:dyDescent="0.25">
      <c r="B337" s="24" t="s">
        <v>464</v>
      </c>
      <c r="C337" s="25">
        <v>600</v>
      </c>
      <c r="D337" t="s">
        <v>468</v>
      </c>
      <c r="E337" s="8" t="str">
        <f t="shared" si="16"/>
        <v>74.600</v>
      </c>
      <c r="F337" t="str">
        <f t="shared" si="15"/>
        <v>Ja</v>
      </c>
      <c r="G337" s="7">
        <v>1</v>
      </c>
      <c r="H337" s="7" t="s">
        <v>411</v>
      </c>
      <c r="I337" s="7" t="str">
        <f t="shared" si="17"/>
        <v/>
      </c>
    </row>
    <row r="338" spans="2:9" x14ac:dyDescent="0.25">
      <c r="B338" s="24" t="s">
        <v>465</v>
      </c>
      <c r="C338" s="25">
        <v>601</v>
      </c>
      <c r="D338" t="s">
        <v>468</v>
      </c>
      <c r="E338" s="8" t="str">
        <f t="shared" si="16"/>
        <v>74.601</v>
      </c>
      <c r="F338" t="str">
        <f t="shared" si="15"/>
        <v>Ja</v>
      </c>
      <c r="G338" s="7">
        <v>1</v>
      </c>
      <c r="H338" s="7" t="s">
        <v>411</v>
      </c>
      <c r="I338" s="7" t="str">
        <f t="shared" si="17"/>
        <v/>
      </c>
    </row>
    <row r="339" spans="2:9" x14ac:dyDescent="0.25">
      <c r="B339" s="24" t="s">
        <v>470</v>
      </c>
      <c r="C339" s="25">
        <v>602</v>
      </c>
      <c r="D339" t="s">
        <v>468</v>
      </c>
      <c r="E339" s="8" t="str">
        <f t="shared" si="16"/>
        <v>74.602</v>
      </c>
      <c r="F339" t="str">
        <f t="shared" si="15"/>
        <v>Nee</v>
      </c>
      <c r="G339" s="7">
        <v>0</v>
      </c>
      <c r="H339" s="7" t="s">
        <v>411</v>
      </c>
      <c r="I339" s="7" t="str">
        <f t="shared" si="17"/>
        <v/>
      </c>
    </row>
    <row r="340" spans="2:9" x14ac:dyDescent="0.25">
      <c r="B340" s="24" t="s">
        <v>471</v>
      </c>
      <c r="C340" s="25">
        <v>600</v>
      </c>
      <c r="D340" t="s">
        <v>469</v>
      </c>
      <c r="E340" s="8" t="str">
        <f t="shared" si="16"/>
        <v>73.600</v>
      </c>
      <c r="F340" t="str">
        <f t="shared" si="15"/>
        <v>Nee</v>
      </c>
      <c r="G340" s="7">
        <v>0</v>
      </c>
      <c r="H340" s="7" t="s">
        <v>411</v>
      </c>
      <c r="I340" s="7" t="str">
        <f t="shared" si="17"/>
        <v/>
      </c>
    </row>
    <row r="341" spans="2:9" x14ac:dyDescent="0.25">
      <c r="B341" s="24" t="s">
        <v>467</v>
      </c>
      <c r="C341" s="25">
        <v>601</v>
      </c>
      <c r="D341" t="s">
        <v>469</v>
      </c>
      <c r="E341" s="8" t="str">
        <f t="shared" si="16"/>
        <v>73.601</v>
      </c>
      <c r="F341" t="str">
        <f t="shared" si="15"/>
        <v>Ja</v>
      </c>
      <c r="G341" s="7">
        <v>1</v>
      </c>
      <c r="H341" s="7" t="s">
        <v>411</v>
      </c>
      <c r="I341" s="7" t="str">
        <f t="shared" si="17"/>
        <v/>
      </c>
    </row>
    <row r="342" spans="2:9" x14ac:dyDescent="0.25">
      <c r="B342" s="24" t="s">
        <v>466</v>
      </c>
      <c r="C342" s="25">
        <v>602</v>
      </c>
      <c r="D342" t="s">
        <v>469</v>
      </c>
      <c r="E342" s="8" t="str">
        <f t="shared" si="16"/>
        <v>73.602</v>
      </c>
      <c r="F342" t="str">
        <f t="shared" si="15"/>
        <v>Ja</v>
      </c>
      <c r="G342" s="7">
        <v>1</v>
      </c>
      <c r="H342" s="7" t="s">
        <v>411</v>
      </c>
      <c r="I342" s="7" t="str">
        <f t="shared" si="17"/>
        <v/>
      </c>
    </row>
    <row r="343" spans="2:9" x14ac:dyDescent="0.25">
      <c r="B343" s="24" t="s">
        <v>472</v>
      </c>
      <c r="C343" s="25">
        <v>600</v>
      </c>
      <c r="D343" t="s">
        <v>473</v>
      </c>
      <c r="E343" s="8" t="str">
        <f t="shared" si="16"/>
        <v>70.600</v>
      </c>
      <c r="F343" t="str">
        <f t="shared" si="15"/>
        <v>Nee</v>
      </c>
      <c r="G343" s="7">
        <v>0</v>
      </c>
      <c r="H343" s="7" t="s">
        <v>411</v>
      </c>
      <c r="I343" s="7" t="str">
        <f t="shared" si="17"/>
        <v/>
      </c>
    </row>
    <row r="344" spans="2:9" x14ac:dyDescent="0.25">
      <c r="B344" s="24" t="s">
        <v>474</v>
      </c>
      <c r="C344" s="25">
        <v>601</v>
      </c>
      <c r="D344" t="s">
        <v>473</v>
      </c>
      <c r="E344" s="8" t="str">
        <f t="shared" si="16"/>
        <v>70.601</v>
      </c>
      <c r="F344" t="str">
        <f t="shared" si="15"/>
        <v>Nee</v>
      </c>
      <c r="G344" s="7">
        <v>0</v>
      </c>
      <c r="H344" s="7" t="s">
        <v>411</v>
      </c>
      <c r="I344" s="7" t="str">
        <f t="shared" si="17"/>
        <v/>
      </c>
    </row>
    <row r="345" spans="2:9" x14ac:dyDescent="0.25">
      <c r="B345" s="24" t="s">
        <v>475</v>
      </c>
      <c r="C345" s="25">
        <v>602</v>
      </c>
      <c r="D345" t="s">
        <v>473</v>
      </c>
      <c r="E345" s="8" t="str">
        <f t="shared" si="16"/>
        <v>70.602</v>
      </c>
      <c r="F345" t="str">
        <f t="shared" si="15"/>
        <v>Nee</v>
      </c>
      <c r="G345" s="7">
        <v>0</v>
      </c>
      <c r="H345" s="7" t="s">
        <v>411</v>
      </c>
      <c r="I345" s="7" t="str">
        <f t="shared" si="17"/>
        <v/>
      </c>
    </row>
    <row r="346" spans="2:9" x14ac:dyDescent="0.25">
      <c r="B346" s="26" t="s">
        <v>476</v>
      </c>
      <c r="C346" s="27">
        <v>1</v>
      </c>
      <c r="D346" t="s">
        <v>564</v>
      </c>
      <c r="E346" s="8" t="str">
        <f>IF(D346="Model Air","71."&amp;C346,IF(D346="Model Color","70."&amp;C346,IF(D346="Metal Color","77."&amp;C346,IF(D346="Primer 200ml","74."&amp;C346,IF(D346="Primer 60ml","73."&amp;C346,IF(D346="Primer 17ml","70."&amp;C346,IF(D346="Enamel Revell","REV-"&amp;VALUE(C346),"")))))))</f>
        <v>REV-1</v>
      </c>
      <c r="F346" t="str">
        <f t="shared" si="15"/>
        <v>Nee</v>
      </c>
      <c r="G346" s="7">
        <v>0</v>
      </c>
      <c r="H346" s="7" t="s">
        <v>411</v>
      </c>
      <c r="I346" s="7" t="str">
        <f t="shared" si="17"/>
        <v/>
      </c>
    </row>
    <row r="347" spans="2:9" x14ac:dyDescent="0.25">
      <c r="B347" s="26" t="s">
        <v>477</v>
      </c>
      <c r="C347" s="27">
        <v>2</v>
      </c>
      <c r="D347" t="s">
        <v>564</v>
      </c>
      <c r="E347" s="8" t="str">
        <f t="shared" si="16"/>
        <v>REV-2</v>
      </c>
      <c r="F347" t="str">
        <f t="shared" si="15"/>
        <v>Nee</v>
      </c>
      <c r="G347" s="7">
        <v>0</v>
      </c>
      <c r="H347" s="7" t="s">
        <v>411</v>
      </c>
      <c r="I347" s="7" t="str">
        <f t="shared" si="17"/>
        <v/>
      </c>
    </row>
    <row r="348" spans="2:9" x14ac:dyDescent="0.25">
      <c r="B348" s="26" t="s">
        <v>478</v>
      </c>
      <c r="C348" s="27">
        <v>4</v>
      </c>
      <c r="D348" t="s">
        <v>564</v>
      </c>
      <c r="E348" s="8" t="str">
        <f t="shared" si="16"/>
        <v>REV-4</v>
      </c>
      <c r="F348" t="str">
        <f t="shared" si="15"/>
        <v>Ja</v>
      </c>
      <c r="G348" s="7">
        <v>2</v>
      </c>
      <c r="H348" s="7" t="s">
        <v>411</v>
      </c>
      <c r="I348" s="7" t="str">
        <f t="shared" si="17"/>
        <v/>
      </c>
    </row>
    <row r="349" spans="2:9" x14ac:dyDescent="0.25">
      <c r="B349" s="26" t="s">
        <v>479</v>
      </c>
      <c r="C349" s="27">
        <v>5</v>
      </c>
      <c r="D349" t="s">
        <v>564</v>
      </c>
      <c r="E349" s="8" t="str">
        <f t="shared" si="16"/>
        <v>REV-5</v>
      </c>
      <c r="F349" t="str">
        <f t="shared" si="15"/>
        <v>Ja</v>
      </c>
      <c r="G349" s="7">
        <v>2</v>
      </c>
      <c r="H349" s="7" t="s">
        <v>411</v>
      </c>
      <c r="I349" s="7" t="str">
        <f t="shared" si="17"/>
        <v/>
      </c>
    </row>
    <row r="350" spans="2:9" x14ac:dyDescent="0.25">
      <c r="B350" s="26" t="s">
        <v>480</v>
      </c>
      <c r="C350" s="27">
        <v>6</v>
      </c>
      <c r="D350" t="s">
        <v>564</v>
      </c>
      <c r="E350" s="8" t="str">
        <f t="shared" si="16"/>
        <v>REV-6</v>
      </c>
      <c r="F350" t="str">
        <f t="shared" si="15"/>
        <v>Ja</v>
      </c>
      <c r="G350" s="7">
        <v>1</v>
      </c>
      <c r="H350" s="7" t="s">
        <v>411</v>
      </c>
      <c r="I350" s="7" t="str">
        <f t="shared" si="17"/>
        <v/>
      </c>
    </row>
    <row r="351" spans="2:9" x14ac:dyDescent="0.25">
      <c r="B351" s="26" t="s">
        <v>481</v>
      </c>
      <c r="C351" s="27">
        <v>7</v>
      </c>
      <c r="D351" t="s">
        <v>564</v>
      </c>
      <c r="E351" s="8" t="str">
        <f t="shared" si="16"/>
        <v>REV-7</v>
      </c>
      <c r="F351" t="str">
        <f t="shared" si="15"/>
        <v>Ja</v>
      </c>
      <c r="G351" s="7">
        <v>1</v>
      </c>
      <c r="H351" s="7" t="s">
        <v>411</v>
      </c>
      <c r="I351" s="7" t="str">
        <f t="shared" si="17"/>
        <v/>
      </c>
    </row>
    <row r="352" spans="2:9" x14ac:dyDescent="0.25">
      <c r="B352" s="26" t="s">
        <v>482</v>
      </c>
      <c r="C352" s="27">
        <v>8</v>
      </c>
      <c r="D352" t="s">
        <v>564</v>
      </c>
      <c r="E352" s="8" t="str">
        <f t="shared" si="16"/>
        <v>REV-8</v>
      </c>
      <c r="F352" t="str">
        <f t="shared" si="15"/>
        <v>Ja</v>
      </c>
      <c r="G352" s="7">
        <v>2</v>
      </c>
      <c r="H352" s="7" t="s">
        <v>411</v>
      </c>
      <c r="I352" s="7" t="str">
        <f t="shared" si="17"/>
        <v/>
      </c>
    </row>
    <row r="353" spans="2:9" x14ac:dyDescent="0.25">
      <c r="B353" s="26" t="s">
        <v>483</v>
      </c>
      <c r="C353" s="27">
        <v>9</v>
      </c>
      <c r="D353" t="s">
        <v>564</v>
      </c>
      <c r="E353" s="8" t="str">
        <f t="shared" si="16"/>
        <v>REV-9</v>
      </c>
      <c r="F353" t="str">
        <f t="shared" si="15"/>
        <v>Ja</v>
      </c>
      <c r="G353" s="7">
        <v>4</v>
      </c>
      <c r="H353" s="7" t="s">
        <v>411</v>
      </c>
      <c r="I353" s="7" t="str">
        <f t="shared" si="17"/>
        <v/>
      </c>
    </row>
    <row r="354" spans="2:9" x14ac:dyDescent="0.25">
      <c r="B354" s="26" t="s">
        <v>484</v>
      </c>
      <c r="C354" s="27">
        <v>12</v>
      </c>
      <c r="D354" t="s">
        <v>564</v>
      </c>
      <c r="E354" s="8" t="str">
        <f t="shared" si="16"/>
        <v>REV-12</v>
      </c>
      <c r="F354" t="str">
        <f t="shared" si="15"/>
        <v>Ja</v>
      </c>
      <c r="G354" s="7">
        <v>2</v>
      </c>
      <c r="H354" s="7" t="s">
        <v>411</v>
      </c>
      <c r="I354" s="7" t="str">
        <f t="shared" si="17"/>
        <v/>
      </c>
    </row>
    <row r="355" spans="2:9" x14ac:dyDescent="0.25">
      <c r="B355" s="26" t="s">
        <v>485</v>
      </c>
      <c r="C355" s="27">
        <v>15</v>
      </c>
      <c r="D355" t="s">
        <v>564</v>
      </c>
      <c r="E355" s="8" t="str">
        <f t="shared" si="16"/>
        <v>REV-15</v>
      </c>
      <c r="F355" t="str">
        <f t="shared" si="15"/>
        <v>Ja</v>
      </c>
      <c r="G355" s="7">
        <v>1</v>
      </c>
      <c r="H355" s="7" t="s">
        <v>411</v>
      </c>
      <c r="I355" s="7" t="str">
        <f t="shared" si="17"/>
        <v/>
      </c>
    </row>
    <row r="356" spans="2:9" x14ac:dyDescent="0.25">
      <c r="B356" s="26" t="s">
        <v>486</v>
      </c>
      <c r="C356" s="27">
        <v>16</v>
      </c>
      <c r="D356" t="s">
        <v>564</v>
      </c>
      <c r="E356" s="8" t="str">
        <f t="shared" si="16"/>
        <v>REV-16</v>
      </c>
      <c r="F356" t="str">
        <f t="shared" si="15"/>
        <v>Ja</v>
      </c>
      <c r="G356" s="7">
        <v>1</v>
      </c>
      <c r="H356" s="7" t="s">
        <v>411</v>
      </c>
      <c r="I356" s="7" t="str">
        <f t="shared" si="17"/>
        <v/>
      </c>
    </row>
    <row r="357" spans="2:9" x14ac:dyDescent="0.25">
      <c r="B357" s="26" t="s">
        <v>487</v>
      </c>
      <c r="C357" s="27">
        <v>17</v>
      </c>
      <c r="D357" t="s">
        <v>564</v>
      </c>
      <c r="E357" s="8" t="str">
        <f t="shared" si="16"/>
        <v>REV-17</v>
      </c>
      <c r="F357" t="str">
        <f t="shared" si="15"/>
        <v>Ja</v>
      </c>
      <c r="G357" s="7">
        <v>1</v>
      </c>
      <c r="H357" s="7" t="s">
        <v>411</v>
      </c>
      <c r="I357" s="7" t="str">
        <f t="shared" si="17"/>
        <v/>
      </c>
    </row>
    <row r="358" spans="2:9" x14ac:dyDescent="0.25">
      <c r="B358" s="26" t="s">
        <v>488</v>
      </c>
      <c r="C358" s="27">
        <v>25</v>
      </c>
      <c r="D358" t="s">
        <v>564</v>
      </c>
      <c r="E358" s="8" t="str">
        <f t="shared" si="16"/>
        <v>REV-25</v>
      </c>
      <c r="F358" t="str">
        <f t="shared" si="15"/>
        <v>Nee</v>
      </c>
      <c r="G358" s="7">
        <v>0</v>
      </c>
      <c r="H358" s="7" t="s">
        <v>411</v>
      </c>
      <c r="I358" s="7" t="str">
        <f t="shared" si="17"/>
        <v/>
      </c>
    </row>
    <row r="359" spans="2:9" x14ac:dyDescent="0.25">
      <c r="B359" s="26" t="s">
        <v>489</v>
      </c>
      <c r="C359" s="27">
        <v>30</v>
      </c>
      <c r="D359" t="s">
        <v>564</v>
      </c>
      <c r="E359" s="8" t="str">
        <f t="shared" si="16"/>
        <v>REV-30</v>
      </c>
      <c r="F359" t="str">
        <f t="shared" si="15"/>
        <v>Ja</v>
      </c>
      <c r="G359" s="7">
        <v>1</v>
      </c>
      <c r="H359" s="7" t="s">
        <v>411</v>
      </c>
      <c r="I359" s="7" t="str">
        <f t="shared" si="17"/>
        <v/>
      </c>
    </row>
    <row r="360" spans="2:9" x14ac:dyDescent="0.25">
      <c r="B360" s="26" t="s">
        <v>490</v>
      </c>
      <c r="C360" s="27">
        <v>31</v>
      </c>
      <c r="D360" t="s">
        <v>564</v>
      </c>
      <c r="E360" s="8" t="str">
        <f t="shared" si="16"/>
        <v>REV-31</v>
      </c>
      <c r="F360" t="str">
        <f t="shared" si="15"/>
        <v>Ja</v>
      </c>
      <c r="G360" s="7">
        <v>1</v>
      </c>
      <c r="H360" s="7" t="s">
        <v>411</v>
      </c>
      <c r="I360" s="7" t="str">
        <f t="shared" si="17"/>
        <v/>
      </c>
    </row>
    <row r="361" spans="2:9" x14ac:dyDescent="0.25">
      <c r="B361" s="26" t="s">
        <v>491</v>
      </c>
      <c r="C361" s="27">
        <v>34</v>
      </c>
      <c r="D361" t="s">
        <v>564</v>
      </c>
      <c r="E361" s="8" t="str">
        <f t="shared" si="16"/>
        <v>REV-34</v>
      </c>
      <c r="F361" t="str">
        <f t="shared" si="15"/>
        <v>Ja</v>
      </c>
      <c r="G361" s="7">
        <v>2</v>
      </c>
      <c r="H361" s="7" t="s">
        <v>411</v>
      </c>
      <c r="I361" s="7" t="str">
        <f t="shared" si="17"/>
        <v/>
      </c>
    </row>
    <row r="362" spans="2:9" x14ac:dyDescent="0.25">
      <c r="B362" s="26" t="s">
        <v>492</v>
      </c>
      <c r="C362" s="27">
        <v>35</v>
      </c>
      <c r="D362" t="s">
        <v>564</v>
      </c>
      <c r="E362" s="8" t="str">
        <f t="shared" si="16"/>
        <v>REV-35</v>
      </c>
      <c r="F362" t="str">
        <f t="shared" si="15"/>
        <v>Nee</v>
      </c>
      <c r="G362" s="7">
        <v>0</v>
      </c>
      <c r="H362" s="7" t="s">
        <v>411</v>
      </c>
      <c r="I362" s="7" t="str">
        <f t="shared" si="17"/>
        <v/>
      </c>
    </row>
    <row r="363" spans="2:9" x14ac:dyDescent="0.25">
      <c r="B363" s="26" t="s">
        <v>493</v>
      </c>
      <c r="C363" s="27">
        <v>36</v>
      </c>
      <c r="D363" t="s">
        <v>564</v>
      </c>
      <c r="E363" s="8" t="str">
        <f t="shared" si="16"/>
        <v>REV-36</v>
      </c>
      <c r="F363" t="str">
        <f t="shared" si="15"/>
        <v>Ja</v>
      </c>
      <c r="G363" s="7">
        <v>1</v>
      </c>
      <c r="H363" s="7" t="s">
        <v>411</v>
      </c>
      <c r="I363" s="7" t="str">
        <f t="shared" si="17"/>
        <v/>
      </c>
    </row>
    <row r="364" spans="2:9" x14ac:dyDescent="0.25">
      <c r="B364" s="26" t="s">
        <v>494</v>
      </c>
      <c r="C364" s="27">
        <v>37</v>
      </c>
      <c r="D364" t="s">
        <v>564</v>
      </c>
      <c r="E364" s="8" t="str">
        <f t="shared" si="16"/>
        <v>REV-37</v>
      </c>
      <c r="F364" t="str">
        <f t="shared" si="15"/>
        <v>Ja</v>
      </c>
      <c r="G364" s="7">
        <v>1</v>
      </c>
      <c r="H364" s="7" t="s">
        <v>411</v>
      </c>
      <c r="I364" s="7" t="str">
        <f t="shared" si="17"/>
        <v/>
      </c>
    </row>
    <row r="365" spans="2:9" x14ac:dyDescent="0.25">
      <c r="B365" s="26" t="s">
        <v>495</v>
      </c>
      <c r="C365" s="27">
        <v>39</v>
      </c>
      <c r="D365" t="s">
        <v>564</v>
      </c>
      <c r="E365" s="8" t="str">
        <f t="shared" si="16"/>
        <v>REV-39</v>
      </c>
      <c r="F365" t="str">
        <f t="shared" si="15"/>
        <v>Nee</v>
      </c>
      <c r="G365" s="7">
        <v>0</v>
      </c>
      <c r="H365" s="7" t="s">
        <v>411</v>
      </c>
      <c r="I365" s="7" t="str">
        <f t="shared" si="17"/>
        <v/>
      </c>
    </row>
    <row r="366" spans="2:9" x14ac:dyDescent="0.25">
      <c r="B366" s="26" t="s">
        <v>496</v>
      </c>
      <c r="C366" s="27">
        <v>40</v>
      </c>
      <c r="D366" t="s">
        <v>564</v>
      </c>
      <c r="E366" s="8" t="str">
        <f t="shared" si="16"/>
        <v>REV-40</v>
      </c>
      <c r="F366" t="str">
        <f t="shared" si="15"/>
        <v>Nee</v>
      </c>
      <c r="G366" s="7">
        <v>0</v>
      </c>
      <c r="H366" s="7" t="s">
        <v>411</v>
      </c>
      <c r="I366" s="7" t="str">
        <f t="shared" si="17"/>
        <v/>
      </c>
    </row>
    <row r="367" spans="2:9" x14ac:dyDescent="0.25">
      <c r="B367" s="26" t="s">
        <v>497</v>
      </c>
      <c r="C367" s="27">
        <v>42</v>
      </c>
      <c r="D367" t="s">
        <v>564</v>
      </c>
      <c r="E367" s="8" t="str">
        <f t="shared" si="16"/>
        <v>REV-42</v>
      </c>
      <c r="F367" t="str">
        <f t="shared" si="15"/>
        <v>Nee</v>
      </c>
      <c r="G367" s="7">
        <v>0</v>
      </c>
      <c r="H367" s="7" t="s">
        <v>411</v>
      </c>
      <c r="I367" s="7" t="str">
        <f t="shared" si="17"/>
        <v/>
      </c>
    </row>
    <row r="368" spans="2:9" x14ac:dyDescent="0.25">
      <c r="B368" s="26" t="s">
        <v>498</v>
      </c>
      <c r="C368" s="27">
        <v>43</v>
      </c>
      <c r="D368" t="s">
        <v>564</v>
      </c>
      <c r="E368" s="8" t="str">
        <f t="shared" si="16"/>
        <v>REV-43</v>
      </c>
      <c r="F368" t="str">
        <f t="shared" si="15"/>
        <v>Ja</v>
      </c>
      <c r="G368" s="7">
        <v>1</v>
      </c>
      <c r="H368" s="7" t="s">
        <v>411</v>
      </c>
      <c r="I368" s="7" t="str">
        <f t="shared" si="17"/>
        <v/>
      </c>
    </row>
    <row r="369" spans="2:9" x14ac:dyDescent="0.25">
      <c r="B369" s="26" t="s">
        <v>499</v>
      </c>
      <c r="C369" s="27">
        <v>45</v>
      </c>
      <c r="D369" t="s">
        <v>564</v>
      </c>
      <c r="E369" s="8" t="str">
        <f t="shared" si="16"/>
        <v>REV-45</v>
      </c>
      <c r="F369" t="str">
        <f t="shared" si="15"/>
        <v>Nee</v>
      </c>
      <c r="G369" s="7">
        <v>0</v>
      </c>
      <c r="H369" s="7" t="s">
        <v>411</v>
      </c>
      <c r="I369" s="7" t="str">
        <f t="shared" si="17"/>
        <v/>
      </c>
    </row>
    <row r="370" spans="2:9" x14ac:dyDescent="0.25">
      <c r="B370" s="26" t="s">
        <v>500</v>
      </c>
      <c r="C370" s="27">
        <v>46</v>
      </c>
      <c r="D370" t="s">
        <v>564</v>
      </c>
      <c r="E370" s="8" t="str">
        <f t="shared" si="16"/>
        <v>REV-46</v>
      </c>
      <c r="F370" t="str">
        <f t="shared" si="15"/>
        <v>Nee</v>
      </c>
      <c r="G370" s="7">
        <v>0</v>
      </c>
      <c r="H370" s="7" t="s">
        <v>411</v>
      </c>
      <c r="I370" s="7" t="str">
        <f t="shared" si="17"/>
        <v/>
      </c>
    </row>
    <row r="371" spans="2:9" x14ac:dyDescent="0.25">
      <c r="B371" s="26" t="s">
        <v>501</v>
      </c>
      <c r="C371" s="27">
        <v>47</v>
      </c>
      <c r="D371" t="s">
        <v>564</v>
      </c>
      <c r="E371" s="8" t="str">
        <f t="shared" si="16"/>
        <v>REV-47</v>
      </c>
      <c r="F371" t="str">
        <f t="shared" si="15"/>
        <v>Nee</v>
      </c>
      <c r="G371" s="7">
        <v>0</v>
      </c>
      <c r="H371" s="7" t="s">
        <v>411</v>
      </c>
      <c r="I371" s="7" t="str">
        <f t="shared" si="17"/>
        <v/>
      </c>
    </row>
    <row r="372" spans="2:9" x14ac:dyDescent="0.25">
      <c r="B372" s="26" t="s">
        <v>502</v>
      </c>
      <c r="C372" s="27">
        <v>48</v>
      </c>
      <c r="D372" t="s">
        <v>564</v>
      </c>
      <c r="E372" s="8" t="str">
        <f t="shared" si="16"/>
        <v>REV-48</v>
      </c>
      <c r="F372" t="str">
        <f t="shared" si="15"/>
        <v>Nee</v>
      </c>
      <c r="G372" s="7">
        <v>0</v>
      </c>
      <c r="H372" s="7" t="s">
        <v>411</v>
      </c>
      <c r="I372" s="7" t="str">
        <f t="shared" si="17"/>
        <v/>
      </c>
    </row>
    <row r="373" spans="2:9" x14ac:dyDescent="0.25">
      <c r="B373" s="26" t="s">
        <v>503</v>
      </c>
      <c r="C373" s="27">
        <v>49</v>
      </c>
      <c r="D373" t="s">
        <v>564</v>
      </c>
      <c r="E373" s="8" t="str">
        <f t="shared" si="16"/>
        <v>REV-49</v>
      </c>
      <c r="F373" t="str">
        <f t="shared" si="15"/>
        <v>Nee</v>
      </c>
      <c r="G373" s="7">
        <v>0</v>
      </c>
      <c r="H373" s="7" t="s">
        <v>411</v>
      </c>
      <c r="I373" s="7" t="str">
        <f t="shared" si="17"/>
        <v/>
      </c>
    </row>
    <row r="374" spans="2:9" x14ac:dyDescent="0.25">
      <c r="B374" s="26" t="s">
        <v>504</v>
      </c>
      <c r="C374" s="27">
        <v>50</v>
      </c>
      <c r="D374" t="s">
        <v>564</v>
      </c>
      <c r="E374" s="8" t="str">
        <f t="shared" si="16"/>
        <v>REV-50</v>
      </c>
      <c r="F374" t="str">
        <f t="shared" si="15"/>
        <v>Nee</v>
      </c>
      <c r="G374" s="7">
        <v>0</v>
      </c>
      <c r="H374" s="7" t="s">
        <v>411</v>
      </c>
      <c r="I374" s="7" t="str">
        <f t="shared" si="17"/>
        <v/>
      </c>
    </row>
    <row r="375" spans="2:9" x14ac:dyDescent="0.25">
      <c r="B375" s="26" t="s">
        <v>505</v>
      </c>
      <c r="C375" s="27">
        <v>51</v>
      </c>
      <c r="D375" t="s">
        <v>564</v>
      </c>
      <c r="E375" s="8" t="str">
        <f t="shared" si="16"/>
        <v>REV-51</v>
      </c>
      <c r="F375" t="str">
        <f t="shared" si="15"/>
        <v>Ja</v>
      </c>
      <c r="G375" s="7">
        <v>1</v>
      </c>
      <c r="H375" s="7" t="s">
        <v>411</v>
      </c>
      <c r="I375" s="7" t="str">
        <f t="shared" si="17"/>
        <v/>
      </c>
    </row>
    <row r="376" spans="2:9" x14ac:dyDescent="0.25">
      <c r="B376" s="26" t="s">
        <v>506</v>
      </c>
      <c r="C376" s="27">
        <v>52</v>
      </c>
      <c r="D376" t="s">
        <v>564</v>
      </c>
      <c r="E376" s="8" t="str">
        <f t="shared" si="16"/>
        <v>REV-52</v>
      </c>
      <c r="F376" t="str">
        <f t="shared" si="15"/>
        <v>Ja</v>
      </c>
      <c r="G376" s="7">
        <v>1</v>
      </c>
      <c r="H376" s="7" t="s">
        <v>411</v>
      </c>
      <c r="I376" s="7" t="str">
        <f t="shared" si="17"/>
        <v/>
      </c>
    </row>
    <row r="377" spans="2:9" x14ac:dyDescent="0.25">
      <c r="B377" s="26" t="s">
        <v>507</v>
      </c>
      <c r="C377" s="27">
        <v>54</v>
      </c>
      <c r="D377" t="s">
        <v>564</v>
      </c>
      <c r="E377" s="8" t="str">
        <f t="shared" si="16"/>
        <v>REV-54</v>
      </c>
      <c r="F377" t="str">
        <f t="shared" si="15"/>
        <v>Nee</v>
      </c>
      <c r="G377" s="7">
        <v>0</v>
      </c>
      <c r="H377" s="7" t="s">
        <v>411</v>
      </c>
      <c r="I377" s="7" t="str">
        <f t="shared" si="17"/>
        <v/>
      </c>
    </row>
    <row r="378" spans="2:9" x14ac:dyDescent="0.25">
      <c r="B378" s="26" t="s">
        <v>508</v>
      </c>
      <c r="C378" s="27">
        <v>55</v>
      </c>
      <c r="D378" t="s">
        <v>564</v>
      </c>
      <c r="E378" s="8" t="str">
        <f t="shared" si="16"/>
        <v>REV-55</v>
      </c>
      <c r="F378" t="str">
        <f t="shared" si="15"/>
        <v>Nee</v>
      </c>
      <c r="G378" s="7">
        <v>0</v>
      </c>
      <c r="H378" s="7" t="s">
        <v>411</v>
      </c>
      <c r="I378" s="7" t="str">
        <f t="shared" si="17"/>
        <v/>
      </c>
    </row>
    <row r="379" spans="2:9" x14ac:dyDescent="0.25">
      <c r="B379" s="26" t="s">
        <v>509</v>
      </c>
      <c r="C379" s="27">
        <v>56</v>
      </c>
      <c r="D379" t="s">
        <v>564</v>
      </c>
      <c r="E379" s="8" t="str">
        <f t="shared" si="16"/>
        <v>REV-56</v>
      </c>
      <c r="F379" t="str">
        <f t="shared" si="15"/>
        <v>Nee</v>
      </c>
      <c r="G379" s="7">
        <v>0</v>
      </c>
      <c r="H379" s="7" t="s">
        <v>411</v>
      </c>
      <c r="I379" s="7" t="str">
        <f t="shared" si="17"/>
        <v/>
      </c>
    </row>
    <row r="380" spans="2:9" x14ac:dyDescent="0.25">
      <c r="B380" s="26" t="s">
        <v>510</v>
      </c>
      <c r="C380" s="27">
        <v>57</v>
      </c>
      <c r="D380" t="s">
        <v>564</v>
      </c>
      <c r="E380" s="8" t="str">
        <f t="shared" si="16"/>
        <v>REV-57</v>
      </c>
      <c r="F380" t="str">
        <f t="shared" si="15"/>
        <v>Ja</v>
      </c>
      <c r="G380" s="7">
        <v>2</v>
      </c>
      <c r="H380" s="7" t="s">
        <v>411</v>
      </c>
      <c r="I380" s="7" t="str">
        <f t="shared" si="17"/>
        <v/>
      </c>
    </row>
    <row r="381" spans="2:9" x14ac:dyDescent="0.25">
      <c r="B381" s="26" t="s">
        <v>511</v>
      </c>
      <c r="C381" s="27">
        <v>59</v>
      </c>
      <c r="D381" t="s">
        <v>564</v>
      </c>
      <c r="E381" s="8" t="str">
        <f t="shared" si="16"/>
        <v>REV-59</v>
      </c>
      <c r="F381" t="str">
        <f t="shared" si="15"/>
        <v>Nee</v>
      </c>
      <c r="G381" s="7">
        <v>0</v>
      </c>
      <c r="H381" s="7" t="s">
        <v>411</v>
      </c>
      <c r="I381" s="7" t="str">
        <f t="shared" si="17"/>
        <v/>
      </c>
    </row>
    <row r="382" spans="2:9" x14ac:dyDescent="0.25">
      <c r="B382" s="26" t="s">
        <v>512</v>
      </c>
      <c r="C382" s="27">
        <v>61</v>
      </c>
      <c r="D382" t="s">
        <v>564</v>
      </c>
      <c r="E382" s="8" t="str">
        <f t="shared" si="16"/>
        <v>REV-61</v>
      </c>
      <c r="F382" t="str">
        <f t="shared" si="15"/>
        <v>Nee</v>
      </c>
      <c r="G382" s="7">
        <v>0</v>
      </c>
      <c r="H382" s="7" t="s">
        <v>411</v>
      </c>
      <c r="I382" s="7" t="str">
        <f t="shared" si="17"/>
        <v/>
      </c>
    </row>
    <row r="383" spans="2:9" x14ac:dyDescent="0.25">
      <c r="B383" s="26" t="s">
        <v>513</v>
      </c>
      <c r="C383" s="27">
        <v>62</v>
      </c>
      <c r="D383" t="s">
        <v>564</v>
      </c>
      <c r="E383" s="8" t="str">
        <f t="shared" si="16"/>
        <v>REV-62</v>
      </c>
      <c r="F383" t="str">
        <f t="shared" si="15"/>
        <v>Nee</v>
      </c>
      <c r="G383" s="7">
        <v>0</v>
      </c>
      <c r="H383" s="7" t="s">
        <v>411</v>
      </c>
      <c r="I383" s="7" t="str">
        <f t="shared" si="17"/>
        <v/>
      </c>
    </row>
    <row r="384" spans="2:9" x14ac:dyDescent="0.25">
      <c r="B384" s="26" t="s">
        <v>514</v>
      </c>
      <c r="C384" s="27">
        <v>65</v>
      </c>
      <c r="D384" t="s">
        <v>564</v>
      </c>
      <c r="E384" s="8" t="str">
        <f t="shared" si="16"/>
        <v>REV-65</v>
      </c>
      <c r="F384" t="str">
        <f t="shared" si="15"/>
        <v>Ja</v>
      </c>
      <c r="G384" s="7">
        <v>3</v>
      </c>
      <c r="H384" s="7" t="s">
        <v>411</v>
      </c>
      <c r="I384" s="7" t="str">
        <f t="shared" si="17"/>
        <v/>
      </c>
    </row>
    <row r="385" spans="2:9" x14ac:dyDescent="0.25">
      <c r="B385" s="26" t="s">
        <v>515</v>
      </c>
      <c r="C385" s="27">
        <v>66</v>
      </c>
      <c r="D385" t="s">
        <v>564</v>
      </c>
      <c r="E385" s="8" t="str">
        <f t="shared" si="16"/>
        <v>REV-66</v>
      </c>
      <c r="F385" t="str">
        <f t="shared" si="15"/>
        <v>Nee</v>
      </c>
      <c r="G385" s="7">
        <v>0</v>
      </c>
      <c r="H385" s="7" t="s">
        <v>411</v>
      </c>
      <c r="I385" s="7" t="str">
        <f t="shared" si="17"/>
        <v/>
      </c>
    </row>
    <row r="386" spans="2:9" x14ac:dyDescent="0.25">
      <c r="B386" s="26" t="s">
        <v>516</v>
      </c>
      <c r="C386" s="27">
        <v>67</v>
      </c>
      <c r="D386" t="s">
        <v>564</v>
      </c>
      <c r="E386" s="8" t="str">
        <f t="shared" si="16"/>
        <v>REV-67</v>
      </c>
      <c r="F386" t="str">
        <f t="shared" si="15"/>
        <v>Nee</v>
      </c>
      <c r="G386" s="7">
        <v>0</v>
      </c>
      <c r="H386" s="7" t="s">
        <v>411</v>
      </c>
      <c r="I386" s="7" t="str">
        <f t="shared" si="17"/>
        <v/>
      </c>
    </row>
    <row r="387" spans="2:9" x14ac:dyDescent="0.25">
      <c r="B387" s="26" t="s">
        <v>517</v>
      </c>
      <c r="C387" s="27">
        <v>68</v>
      </c>
      <c r="D387" t="s">
        <v>564</v>
      </c>
      <c r="E387" s="8" t="str">
        <f t="shared" si="16"/>
        <v>REV-68</v>
      </c>
      <c r="F387" t="str">
        <f t="shared" si="15"/>
        <v>Ja</v>
      </c>
      <c r="G387" s="7">
        <v>1</v>
      </c>
      <c r="H387" s="7" t="s">
        <v>411</v>
      </c>
      <c r="I387" s="7" t="str">
        <f t="shared" si="17"/>
        <v/>
      </c>
    </row>
    <row r="388" spans="2:9" x14ac:dyDescent="0.25">
      <c r="B388" s="26" t="s">
        <v>518</v>
      </c>
      <c r="C388" s="27">
        <v>69</v>
      </c>
      <c r="D388" t="s">
        <v>564</v>
      </c>
      <c r="E388" s="8" t="str">
        <f t="shared" si="16"/>
        <v>REV-69</v>
      </c>
      <c r="F388" t="str">
        <f t="shared" si="15"/>
        <v>Nee</v>
      </c>
      <c r="G388" s="7">
        <v>0</v>
      </c>
      <c r="H388" s="7" t="s">
        <v>411</v>
      </c>
      <c r="I388" s="7" t="str">
        <f t="shared" si="17"/>
        <v/>
      </c>
    </row>
    <row r="389" spans="2:9" x14ac:dyDescent="0.25">
      <c r="B389" s="26" t="s">
        <v>519</v>
      </c>
      <c r="C389" s="27">
        <v>74</v>
      </c>
      <c r="D389" t="s">
        <v>564</v>
      </c>
      <c r="E389" s="8" t="str">
        <f t="shared" si="16"/>
        <v>REV-74</v>
      </c>
      <c r="F389" t="str">
        <f t="shared" si="15"/>
        <v>Nee</v>
      </c>
      <c r="G389" s="7">
        <v>0</v>
      </c>
      <c r="H389" s="7" t="s">
        <v>411</v>
      </c>
      <c r="I389" s="7" t="str">
        <f t="shared" si="17"/>
        <v/>
      </c>
    </row>
    <row r="390" spans="2:9" x14ac:dyDescent="0.25">
      <c r="B390" s="26" t="s">
        <v>520</v>
      </c>
      <c r="C390" s="27">
        <v>75</v>
      </c>
      <c r="D390" t="s">
        <v>564</v>
      </c>
      <c r="E390" s="8" t="str">
        <f t="shared" si="16"/>
        <v>REV-75</v>
      </c>
      <c r="F390" t="str">
        <f t="shared" si="15"/>
        <v>Nee</v>
      </c>
      <c r="G390" s="7">
        <v>0</v>
      </c>
      <c r="H390" s="7" t="s">
        <v>411</v>
      </c>
      <c r="I390" s="7" t="str">
        <f t="shared" si="17"/>
        <v/>
      </c>
    </row>
    <row r="391" spans="2:9" x14ac:dyDescent="0.25">
      <c r="B391" s="26" t="s">
        <v>521</v>
      </c>
      <c r="C391" s="27">
        <v>76</v>
      </c>
      <c r="D391" t="s">
        <v>564</v>
      </c>
      <c r="E391" s="8" t="str">
        <f t="shared" si="16"/>
        <v>REV-76</v>
      </c>
      <c r="F391" t="str">
        <f t="shared" si="15"/>
        <v>Ja</v>
      </c>
      <c r="G391" s="7">
        <v>1</v>
      </c>
      <c r="H391" s="7" t="s">
        <v>411</v>
      </c>
      <c r="I391" s="7" t="str">
        <f t="shared" si="17"/>
        <v/>
      </c>
    </row>
    <row r="392" spans="2:9" x14ac:dyDescent="0.25">
      <c r="B392" s="26" t="s">
        <v>522</v>
      </c>
      <c r="C392" s="27">
        <v>77</v>
      </c>
      <c r="D392" t="s">
        <v>564</v>
      </c>
      <c r="E392" s="8" t="str">
        <f t="shared" si="16"/>
        <v>REV-77</v>
      </c>
      <c r="F392" t="str">
        <f t="shared" ref="F392:F433" si="18">IF(G392="","",IF(G392&gt;0,"Ja","Nee"))</f>
        <v>Ja</v>
      </c>
      <c r="G392" s="7">
        <v>1</v>
      </c>
      <c r="H392" s="7" t="s">
        <v>411</v>
      </c>
      <c r="I392" s="7" t="str">
        <f t="shared" si="17"/>
        <v/>
      </c>
    </row>
    <row r="393" spans="2:9" x14ac:dyDescent="0.25">
      <c r="B393" s="26" t="s">
        <v>523</v>
      </c>
      <c r="C393" s="27">
        <v>78</v>
      </c>
      <c r="D393" t="s">
        <v>564</v>
      </c>
      <c r="E393" s="8" t="str">
        <f t="shared" ref="E393:E433" si="19">IF(D393="Model Air","71."&amp;C393,IF(D393="Model Color","70."&amp;C393,IF(D393="Metal Color","77."&amp;C393,IF(D393="Primer 200ml","74."&amp;C393,IF(D393="Primer 60ml","73."&amp;C393,IF(D393="Primer 17ml","70."&amp;C393,IF(D393="Enamel Revell","REV-"&amp;VALUE(C393),"")))))))</f>
        <v>REV-78</v>
      </c>
      <c r="F393" t="str">
        <f t="shared" si="18"/>
        <v>Nee</v>
      </c>
      <c r="G393" s="7">
        <v>0</v>
      </c>
      <c r="H393" s="7" t="s">
        <v>411</v>
      </c>
      <c r="I393" s="7" t="str">
        <f t="shared" ref="I393:I433" si="20">IF(H393="Ja",IF(J393="",1,J393),"")</f>
        <v/>
      </c>
    </row>
    <row r="394" spans="2:9" x14ac:dyDescent="0.25">
      <c r="B394" s="26" t="s">
        <v>524</v>
      </c>
      <c r="C394" s="27">
        <v>79</v>
      </c>
      <c r="D394" t="s">
        <v>564</v>
      </c>
      <c r="E394" s="8" t="str">
        <f t="shared" si="19"/>
        <v>REV-79</v>
      </c>
      <c r="F394" t="str">
        <f t="shared" si="18"/>
        <v>Nee</v>
      </c>
      <c r="G394" s="7">
        <v>0</v>
      </c>
      <c r="H394" s="7" t="s">
        <v>411</v>
      </c>
      <c r="I394" s="7" t="str">
        <f t="shared" si="20"/>
        <v/>
      </c>
    </row>
    <row r="395" spans="2:9" x14ac:dyDescent="0.25">
      <c r="B395" s="26" t="s">
        <v>525</v>
      </c>
      <c r="C395" s="27">
        <v>80</v>
      </c>
      <c r="D395" t="s">
        <v>564</v>
      </c>
      <c r="E395" s="8" t="str">
        <f t="shared" si="19"/>
        <v>REV-80</v>
      </c>
      <c r="F395" t="str">
        <f t="shared" si="18"/>
        <v>Nee</v>
      </c>
      <c r="G395" s="7">
        <v>0</v>
      </c>
      <c r="H395" s="7" t="s">
        <v>411</v>
      </c>
      <c r="I395" s="7" t="str">
        <f t="shared" si="20"/>
        <v/>
      </c>
    </row>
    <row r="396" spans="2:9" x14ac:dyDescent="0.25">
      <c r="B396" s="26" t="s">
        <v>526</v>
      </c>
      <c r="C396" s="27">
        <v>82</v>
      </c>
      <c r="D396" t="s">
        <v>564</v>
      </c>
      <c r="E396" s="8" t="str">
        <f t="shared" si="19"/>
        <v>REV-82</v>
      </c>
      <c r="F396" t="str">
        <f t="shared" si="18"/>
        <v>Ja</v>
      </c>
      <c r="G396" s="7">
        <v>1</v>
      </c>
      <c r="H396" s="7" t="s">
        <v>411</v>
      </c>
      <c r="I396" s="7" t="str">
        <f t="shared" si="20"/>
        <v/>
      </c>
    </row>
    <row r="397" spans="2:9" x14ac:dyDescent="0.25">
      <c r="B397" s="26" t="s">
        <v>527</v>
      </c>
      <c r="C397" s="27">
        <v>83</v>
      </c>
      <c r="D397" t="s">
        <v>564</v>
      </c>
      <c r="E397" s="8" t="str">
        <f t="shared" si="19"/>
        <v>REV-83</v>
      </c>
      <c r="F397" t="str">
        <f t="shared" si="18"/>
        <v>Ja</v>
      </c>
      <c r="G397" s="7">
        <v>1</v>
      </c>
      <c r="H397" s="7" t="s">
        <v>411</v>
      </c>
      <c r="I397" s="7" t="str">
        <f t="shared" si="20"/>
        <v/>
      </c>
    </row>
    <row r="398" spans="2:9" x14ac:dyDescent="0.25">
      <c r="B398" s="26" t="s">
        <v>528</v>
      </c>
      <c r="C398" s="27">
        <v>84</v>
      </c>
      <c r="D398" t="s">
        <v>564</v>
      </c>
      <c r="E398" s="8" t="str">
        <f t="shared" si="19"/>
        <v>REV-84</v>
      </c>
      <c r="F398" t="str">
        <f t="shared" si="18"/>
        <v>Ja</v>
      </c>
      <c r="G398" s="7">
        <v>1</v>
      </c>
      <c r="H398" s="7" t="s">
        <v>411</v>
      </c>
      <c r="I398" s="7" t="str">
        <f t="shared" si="20"/>
        <v/>
      </c>
    </row>
    <row r="399" spans="2:9" x14ac:dyDescent="0.25">
      <c r="B399" s="26" t="s">
        <v>529</v>
      </c>
      <c r="C399" s="27">
        <v>85</v>
      </c>
      <c r="D399" t="s">
        <v>564</v>
      </c>
      <c r="E399" s="8" t="str">
        <f t="shared" si="19"/>
        <v>REV-85</v>
      </c>
      <c r="F399" t="str">
        <f t="shared" si="18"/>
        <v>Nee</v>
      </c>
      <c r="G399" s="7">
        <v>0</v>
      </c>
      <c r="H399" s="7" t="s">
        <v>411</v>
      </c>
      <c r="I399" s="7" t="str">
        <f t="shared" si="20"/>
        <v/>
      </c>
    </row>
    <row r="400" spans="2:9" x14ac:dyDescent="0.25">
      <c r="B400" s="26" t="s">
        <v>530</v>
      </c>
      <c r="C400" s="27">
        <v>86</v>
      </c>
      <c r="D400" t="s">
        <v>564</v>
      </c>
      <c r="E400" s="8" t="str">
        <f t="shared" si="19"/>
        <v>REV-86</v>
      </c>
      <c r="F400" t="str">
        <f t="shared" si="18"/>
        <v>Nee</v>
      </c>
      <c r="G400" s="7">
        <v>0</v>
      </c>
      <c r="H400" s="7" t="s">
        <v>411</v>
      </c>
      <c r="I400" s="7" t="str">
        <f t="shared" si="20"/>
        <v/>
      </c>
    </row>
    <row r="401" spans="2:9" x14ac:dyDescent="0.25">
      <c r="B401" s="26" t="s">
        <v>531</v>
      </c>
      <c r="C401" s="27">
        <v>87</v>
      </c>
      <c r="D401" t="s">
        <v>564</v>
      </c>
      <c r="E401" s="8" t="str">
        <f t="shared" si="19"/>
        <v>REV-87</v>
      </c>
      <c r="F401" t="str">
        <f t="shared" si="18"/>
        <v>Ja</v>
      </c>
      <c r="G401" s="7">
        <v>1</v>
      </c>
      <c r="H401" s="7" t="s">
        <v>411</v>
      </c>
      <c r="I401" s="7" t="str">
        <f t="shared" si="20"/>
        <v/>
      </c>
    </row>
    <row r="402" spans="2:9" x14ac:dyDescent="0.25">
      <c r="B402" s="26" t="s">
        <v>532</v>
      </c>
      <c r="C402" s="27">
        <v>88</v>
      </c>
      <c r="D402" t="s">
        <v>564</v>
      </c>
      <c r="E402" s="8" t="str">
        <f t="shared" si="19"/>
        <v>REV-88</v>
      </c>
      <c r="F402" t="str">
        <f t="shared" si="18"/>
        <v>Ja</v>
      </c>
      <c r="G402" s="7">
        <v>2</v>
      </c>
      <c r="H402" s="7" t="s">
        <v>411</v>
      </c>
      <c r="I402" s="7" t="str">
        <f t="shared" si="20"/>
        <v/>
      </c>
    </row>
    <row r="403" spans="2:9" x14ac:dyDescent="0.25">
      <c r="B403" s="26" t="s">
        <v>533</v>
      </c>
      <c r="C403" s="27">
        <v>89</v>
      </c>
      <c r="D403" t="s">
        <v>564</v>
      </c>
      <c r="E403" s="8" t="str">
        <f t="shared" si="19"/>
        <v>REV-89</v>
      </c>
      <c r="F403" t="str">
        <f t="shared" si="18"/>
        <v>Ja</v>
      </c>
      <c r="G403" s="7">
        <v>1</v>
      </c>
      <c r="H403" s="7" t="s">
        <v>411</v>
      </c>
      <c r="I403" s="7" t="str">
        <f t="shared" si="20"/>
        <v/>
      </c>
    </row>
    <row r="404" spans="2:9" x14ac:dyDescent="0.25">
      <c r="B404" s="26" t="s">
        <v>534</v>
      </c>
      <c r="C404" s="27">
        <v>90</v>
      </c>
      <c r="D404" t="s">
        <v>564</v>
      </c>
      <c r="E404" s="8" t="str">
        <f t="shared" si="19"/>
        <v>REV-90</v>
      </c>
      <c r="F404" t="str">
        <f t="shared" si="18"/>
        <v>Ja</v>
      </c>
      <c r="G404" s="7">
        <v>1</v>
      </c>
      <c r="H404" s="7" t="s">
        <v>411</v>
      </c>
      <c r="I404" s="7" t="str">
        <f t="shared" si="20"/>
        <v/>
      </c>
    </row>
    <row r="405" spans="2:9" x14ac:dyDescent="0.25">
      <c r="B405" s="26" t="s">
        <v>535</v>
      </c>
      <c r="C405" s="27">
        <v>91</v>
      </c>
      <c r="D405" t="s">
        <v>564</v>
      </c>
      <c r="E405" s="8" t="str">
        <f t="shared" si="19"/>
        <v>REV-91</v>
      </c>
      <c r="F405" t="str">
        <f t="shared" si="18"/>
        <v>Ja</v>
      </c>
      <c r="G405" s="7">
        <v>2</v>
      </c>
      <c r="H405" s="7" t="s">
        <v>411</v>
      </c>
      <c r="I405" s="7" t="str">
        <f t="shared" si="20"/>
        <v/>
      </c>
    </row>
    <row r="406" spans="2:9" x14ac:dyDescent="0.25">
      <c r="B406" s="26" t="s">
        <v>536</v>
      </c>
      <c r="C406" s="27">
        <v>92</v>
      </c>
      <c r="D406" t="s">
        <v>564</v>
      </c>
      <c r="E406" s="8" t="str">
        <f t="shared" si="19"/>
        <v>REV-92</v>
      </c>
      <c r="F406" t="str">
        <f t="shared" si="18"/>
        <v>Nee</v>
      </c>
      <c r="G406" s="7">
        <v>0</v>
      </c>
      <c r="H406" s="7" t="s">
        <v>411</v>
      </c>
      <c r="I406" s="7" t="str">
        <f t="shared" si="20"/>
        <v/>
      </c>
    </row>
    <row r="407" spans="2:9" x14ac:dyDescent="0.25">
      <c r="B407" s="26" t="s">
        <v>537</v>
      </c>
      <c r="C407" s="27">
        <v>93</v>
      </c>
      <c r="D407" t="s">
        <v>564</v>
      </c>
      <c r="E407" s="8" t="str">
        <f t="shared" si="19"/>
        <v>REV-93</v>
      </c>
      <c r="F407" t="str">
        <f t="shared" si="18"/>
        <v>Ja</v>
      </c>
      <c r="G407" s="7">
        <v>2</v>
      </c>
      <c r="H407" s="7" t="s">
        <v>411</v>
      </c>
      <c r="I407" s="7" t="str">
        <f t="shared" si="20"/>
        <v/>
      </c>
    </row>
    <row r="408" spans="2:9" x14ac:dyDescent="0.25">
      <c r="B408" s="26" t="s">
        <v>538</v>
      </c>
      <c r="C408" s="27">
        <v>94</v>
      </c>
      <c r="D408" t="s">
        <v>564</v>
      </c>
      <c r="E408" s="8" t="str">
        <f t="shared" si="19"/>
        <v>REV-94</v>
      </c>
      <c r="F408" t="str">
        <f t="shared" si="18"/>
        <v>Ja</v>
      </c>
      <c r="G408" s="7">
        <v>1</v>
      </c>
      <c r="H408" s="7" t="s">
        <v>411</v>
      </c>
      <c r="I408" s="7" t="str">
        <f t="shared" si="20"/>
        <v/>
      </c>
    </row>
    <row r="409" spans="2:9" x14ac:dyDescent="0.25">
      <c r="B409" s="26" t="s">
        <v>539</v>
      </c>
      <c r="C409" s="27">
        <v>95</v>
      </c>
      <c r="D409" t="s">
        <v>564</v>
      </c>
      <c r="E409" s="8" t="str">
        <f t="shared" si="19"/>
        <v>REV-95</v>
      </c>
      <c r="F409" t="str">
        <f t="shared" si="18"/>
        <v>Nee</v>
      </c>
      <c r="G409" s="7">
        <v>0</v>
      </c>
      <c r="H409" s="7" t="s">
        <v>411</v>
      </c>
      <c r="I409" s="7" t="str">
        <f t="shared" si="20"/>
        <v/>
      </c>
    </row>
    <row r="410" spans="2:9" x14ac:dyDescent="0.25">
      <c r="B410" s="26" t="s">
        <v>540</v>
      </c>
      <c r="C410" s="27">
        <v>99</v>
      </c>
      <c r="D410" t="s">
        <v>564</v>
      </c>
      <c r="E410" s="8" t="str">
        <f t="shared" si="19"/>
        <v>REV-99</v>
      </c>
      <c r="F410" t="str">
        <f t="shared" si="18"/>
        <v>Ja</v>
      </c>
      <c r="G410" s="7">
        <v>2</v>
      </c>
      <c r="H410" s="7" t="s">
        <v>411</v>
      </c>
      <c r="I410" s="7" t="str">
        <f t="shared" si="20"/>
        <v/>
      </c>
    </row>
    <row r="411" spans="2:9" x14ac:dyDescent="0.25">
      <c r="B411" s="26" t="s">
        <v>541</v>
      </c>
      <c r="C411" s="27">
        <v>301</v>
      </c>
      <c r="D411" t="s">
        <v>564</v>
      </c>
      <c r="E411" s="8" t="str">
        <f t="shared" si="19"/>
        <v>REV-301</v>
      </c>
      <c r="F411" t="str">
        <f t="shared" si="18"/>
        <v>Nee</v>
      </c>
      <c r="G411" s="7">
        <v>0</v>
      </c>
      <c r="H411" s="7" t="s">
        <v>411</v>
      </c>
      <c r="I411" s="7" t="str">
        <f t="shared" si="20"/>
        <v/>
      </c>
    </row>
    <row r="412" spans="2:9" x14ac:dyDescent="0.25">
      <c r="B412" s="26" t="s">
        <v>542</v>
      </c>
      <c r="C412" s="27">
        <v>302</v>
      </c>
      <c r="D412" t="s">
        <v>564</v>
      </c>
      <c r="E412" s="8" t="str">
        <f t="shared" si="19"/>
        <v>REV-302</v>
      </c>
      <c r="F412" t="str">
        <f t="shared" si="18"/>
        <v>Ja</v>
      </c>
      <c r="G412" s="7">
        <v>1</v>
      </c>
      <c r="H412" s="7" t="s">
        <v>411</v>
      </c>
      <c r="I412" s="7" t="str">
        <f t="shared" si="20"/>
        <v/>
      </c>
    </row>
    <row r="413" spans="2:9" x14ac:dyDescent="0.25">
      <c r="B413" s="26" t="s">
        <v>543</v>
      </c>
      <c r="C413" s="27">
        <v>310</v>
      </c>
      <c r="D413" t="s">
        <v>564</v>
      </c>
      <c r="E413" s="8" t="str">
        <f t="shared" si="19"/>
        <v>REV-310</v>
      </c>
      <c r="F413" t="str">
        <f t="shared" si="18"/>
        <v>Nee</v>
      </c>
      <c r="G413" s="7">
        <v>0</v>
      </c>
      <c r="H413" s="7" t="s">
        <v>411</v>
      </c>
      <c r="I413" s="7" t="str">
        <f t="shared" si="20"/>
        <v/>
      </c>
    </row>
    <row r="414" spans="2:9" x14ac:dyDescent="0.25">
      <c r="B414" s="26" t="s">
        <v>544</v>
      </c>
      <c r="C414" s="27">
        <v>312</v>
      </c>
      <c r="D414" t="s">
        <v>564</v>
      </c>
      <c r="E414" s="8" t="str">
        <f t="shared" si="19"/>
        <v>REV-312</v>
      </c>
      <c r="F414" t="str">
        <f t="shared" si="18"/>
        <v>Nee</v>
      </c>
      <c r="G414" s="7">
        <v>0</v>
      </c>
      <c r="H414" s="7" t="s">
        <v>411</v>
      </c>
      <c r="I414" s="7" t="str">
        <f t="shared" si="20"/>
        <v/>
      </c>
    </row>
    <row r="415" spans="2:9" x14ac:dyDescent="0.25">
      <c r="B415" s="26" t="s">
        <v>545</v>
      </c>
      <c r="C415" s="27">
        <v>314</v>
      </c>
      <c r="D415" t="s">
        <v>564</v>
      </c>
      <c r="E415" s="8" t="str">
        <f t="shared" si="19"/>
        <v>REV-314</v>
      </c>
      <c r="F415" t="str">
        <f t="shared" si="18"/>
        <v>Ja</v>
      </c>
      <c r="G415" s="7">
        <v>2</v>
      </c>
      <c r="H415" s="7" t="s">
        <v>411</v>
      </c>
      <c r="I415" s="7" t="str">
        <f t="shared" si="20"/>
        <v/>
      </c>
    </row>
    <row r="416" spans="2:9" x14ac:dyDescent="0.25">
      <c r="B416" s="26" t="s">
        <v>546</v>
      </c>
      <c r="C416" s="27">
        <v>330</v>
      </c>
      <c r="D416" t="s">
        <v>564</v>
      </c>
      <c r="E416" s="8" t="str">
        <f t="shared" si="19"/>
        <v>REV-330</v>
      </c>
      <c r="F416" t="str">
        <f t="shared" si="18"/>
        <v>Ja</v>
      </c>
      <c r="G416" s="7">
        <v>1</v>
      </c>
      <c r="H416" s="7" t="s">
        <v>411</v>
      </c>
      <c r="I416" s="7" t="str">
        <f t="shared" si="20"/>
        <v/>
      </c>
    </row>
    <row r="417" spans="2:9" x14ac:dyDescent="0.25">
      <c r="B417" s="26" t="s">
        <v>547</v>
      </c>
      <c r="C417" s="27">
        <v>331</v>
      </c>
      <c r="D417" t="s">
        <v>564</v>
      </c>
      <c r="E417" s="8" t="str">
        <f t="shared" si="19"/>
        <v>REV-331</v>
      </c>
      <c r="F417" t="str">
        <f t="shared" si="18"/>
        <v>Ja</v>
      </c>
      <c r="G417" s="7">
        <v>1</v>
      </c>
      <c r="H417" s="7" t="s">
        <v>411</v>
      </c>
      <c r="I417" s="7" t="str">
        <f t="shared" si="20"/>
        <v/>
      </c>
    </row>
    <row r="418" spans="2:9" x14ac:dyDescent="0.25">
      <c r="B418" s="26" t="s">
        <v>548</v>
      </c>
      <c r="C418" s="27">
        <v>332</v>
      </c>
      <c r="D418" t="s">
        <v>564</v>
      </c>
      <c r="E418" s="8" t="str">
        <f t="shared" si="19"/>
        <v>REV-332</v>
      </c>
      <c r="F418" t="str">
        <f t="shared" si="18"/>
        <v>Nee</v>
      </c>
      <c r="G418" s="7">
        <v>0</v>
      </c>
      <c r="H418" s="7" t="s">
        <v>411</v>
      </c>
      <c r="I418" s="7" t="str">
        <f t="shared" si="20"/>
        <v/>
      </c>
    </row>
    <row r="419" spans="2:9" x14ac:dyDescent="0.25">
      <c r="B419" s="26" t="s">
        <v>549</v>
      </c>
      <c r="C419" s="27">
        <v>350</v>
      </c>
      <c r="D419" t="s">
        <v>564</v>
      </c>
      <c r="E419" s="8" t="str">
        <f t="shared" si="19"/>
        <v>REV-350</v>
      </c>
      <c r="F419" t="str">
        <f t="shared" si="18"/>
        <v>Nee</v>
      </c>
      <c r="G419" s="7">
        <v>0</v>
      </c>
      <c r="H419" s="7" t="s">
        <v>411</v>
      </c>
      <c r="I419" s="7" t="str">
        <f t="shared" si="20"/>
        <v/>
      </c>
    </row>
    <row r="420" spans="2:9" x14ac:dyDescent="0.25">
      <c r="B420" s="26" t="s">
        <v>550</v>
      </c>
      <c r="C420" s="27">
        <v>360</v>
      </c>
      <c r="D420" t="s">
        <v>564</v>
      </c>
      <c r="E420" s="8" t="str">
        <f t="shared" si="19"/>
        <v>REV-360</v>
      </c>
      <c r="F420" t="str">
        <f t="shared" si="18"/>
        <v>Ja</v>
      </c>
      <c r="G420" s="7">
        <v>2</v>
      </c>
      <c r="H420" s="7" t="s">
        <v>411</v>
      </c>
      <c r="I420" s="7" t="str">
        <f t="shared" si="20"/>
        <v/>
      </c>
    </row>
    <row r="421" spans="2:9" x14ac:dyDescent="0.25">
      <c r="B421" s="26" t="s">
        <v>551</v>
      </c>
      <c r="C421" s="27">
        <v>361</v>
      </c>
      <c r="D421" t="s">
        <v>564</v>
      </c>
      <c r="E421" s="8" t="str">
        <f t="shared" si="19"/>
        <v>REV-361</v>
      </c>
      <c r="F421" t="str">
        <f t="shared" si="18"/>
        <v>Nee</v>
      </c>
      <c r="G421" s="7">
        <v>0</v>
      </c>
      <c r="H421" s="7" t="s">
        <v>411</v>
      </c>
      <c r="I421" s="7" t="str">
        <f t="shared" si="20"/>
        <v/>
      </c>
    </row>
    <row r="422" spans="2:9" x14ac:dyDescent="0.25">
      <c r="B422" s="26" t="s">
        <v>552</v>
      </c>
      <c r="C422" s="27">
        <v>362</v>
      </c>
      <c r="D422" t="s">
        <v>564</v>
      </c>
      <c r="E422" s="8" t="str">
        <f t="shared" si="19"/>
        <v>REV-362</v>
      </c>
      <c r="F422" t="str">
        <f t="shared" si="18"/>
        <v>Nee</v>
      </c>
      <c r="G422" s="7">
        <v>0</v>
      </c>
      <c r="H422" s="7" t="s">
        <v>411</v>
      </c>
      <c r="I422" s="7" t="str">
        <f t="shared" si="20"/>
        <v/>
      </c>
    </row>
    <row r="423" spans="2:9" x14ac:dyDescent="0.25">
      <c r="B423" s="26" t="s">
        <v>553</v>
      </c>
      <c r="C423" s="27">
        <v>363</v>
      </c>
      <c r="D423" t="s">
        <v>564</v>
      </c>
      <c r="E423" s="8" t="str">
        <f t="shared" si="19"/>
        <v>REV-363</v>
      </c>
      <c r="F423" t="str">
        <f t="shared" si="18"/>
        <v>Ja</v>
      </c>
      <c r="G423" s="7">
        <v>1</v>
      </c>
      <c r="H423" s="7" t="s">
        <v>411</v>
      </c>
      <c r="I423" s="7" t="str">
        <f t="shared" si="20"/>
        <v/>
      </c>
    </row>
    <row r="424" spans="2:9" x14ac:dyDescent="0.25">
      <c r="B424" s="26" t="s">
        <v>554</v>
      </c>
      <c r="C424" s="27">
        <v>364</v>
      </c>
      <c r="D424" t="s">
        <v>564</v>
      </c>
      <c r="E424" s="8" t="str">
        <f t="shared" si="19"/>
        <v>REV-364</v>
      </c>
      <c r="F424" t="str">
        <f t="shared" si="18"/>
        <v>Nee</v>
      </c>
      <c r="G424" s="7">
        <v>0</v>
      </c>
      <c r="H424" s="7" t="s">
        <v>411</v>
      </c>
      <c r="I424" s="7" t="str">
        <f t="shared" si="20"/>
        <v/>
      </c>
    </row>
    <row r="425" spans="2:9" x14ac:dyDescent="0.25">
      <c r="B425" s="26" t="s">
        <v>555</v>
      </c>
      <c r="C425" s="27">
        <v>365</v>
      </c>
      <c r="D425" t="s">
        <v>564</v>
      </c>
      <c r="E425" s="8" t="str">
        <f t="shared" si="19"/>
        <v>REV-365</v>
      </c>
      <c r="F425" t="str">
        <f t="shared" si="18"/>
        <v>Nee</v>
      </c>
      <c r="G425" s="7">
        <v>0</v>
      </c>
      <c r="H425" s="7" t="s">
        <v>411</v>
      </c>
      <c r="I425" s="7" t="str">
        <f t="shared" si="20"/>
        <v/>
      </c>
    </row>
    <row r="426" spans="2:9" x14ac:dyDescent="0.25">
      <c r="B426" s="26" t="s">
        <v>556</v>
      </c>
      <c r="C426" s="27">
        <v>371</v>
      </c>
      <c r="D426" t="s">
        <v>564</v>
      </c>
      <c r="E426" s="8" t="str">
        <f t="shared" si="19"/>
        <v>REV-371</v>
      </c>
      <c r="F426" t="str">
        <f t="shared" si="18"/>
        <v>Ja</v>
      </c>
      <c r="G426" s="7">
        <v>1</v>
      </c>
      <c r="H426" s="7" t="s">
        <v>411</v>
      </c>
      <c r="I426" s="7" t="str">
        <f t="shared" si="20"/>
        <v/>
      </c>
    </row>
    <row r="427" spans="2:9" x14ac:dyDescent="0.25">
      <c r="B427" s="26" t="s">
        <v>557</v>
      </c>
      <c r="C427" s="27">
        <v>374</v>
      </c>
      <c r="D427" t="s">
        <v>564</v>
      </c>
      <c r="E427" s="8" t="str">
        <f t="shared" si="19"/>
        <v>REV-374</v>
      </c>
      <c r="F427" t="str">
        <f t="shared" si="18"/>
        <v>Ja</v>
      </c>
      <c r="G427" s="7">
        <v>1</v>
      </c>
      <c r="H427" s="7" t="s">
        <v>411</v>
      </c>
      <c r="I427" s="7" t="str">
        <f t="shared" si="20"/>
        <v/>
      </c>
    </row>
    <row r="428" spans="2:9" x14ac:dyDescent="0.25">
      <c r="B428" s="26" t="s">
        <v>558</v>
      </c>
      <c r="C428" s="27">
        <v>378</v>
      </c>
      <c r="D428" t="s">
        <v>564</v>
      </c>
      <c r="E428" s="8" t="str">
        <f t="shared" si="19"/>
        <v>REV-378</v>
      </c>
      <c r="F428" t="str">
        <f t="shared" si="18"/>
        <v>Nee</v>
      </c>
      <c r="G428" s="7">
        <v>0</v>
      </c>
      <c r="H428" s="7" t="s">
        <v>411</v>
      </c>
      <c r="I428" s="7" t="str">
        <f t="shared" si="20"/>
        <v/>
      </c>
    </row>
    <row r="429" spans="2:9" x14ac:dyDescent="0.25">
      <c r="B429" s="26" t="s">
        <v>559</v>
      </c>
      <c r="C429" s="27">
        <v>381</v>
      </c>
      <c r="D429" t="s">
        <v>564</v>
      </c>
      <c r="E429" s="8" t="str">
        <f t="shared" si="19"/>
        <v>REV-381</v>
      </c>
      <c r="F429" t="str">
        <f t="shared" si="18"/>
        <v>Nee</v>
      </c>
      <c r="G429" s="7">
        <v>0</v>
      </c>
      <c r="H429" s="7" t="s">
        <v>411</v>
      </c>
      <c r="I429" s="7" t="str">
        <f t="shared" si="20"/>
        <v/>
      </c>
    </row>
    <row r="430" spans="2:9" x14ac:dyDescent="0.25">
      <c r="B430" s="26" t="s">
        <v>560</v>
      </c>
      <c r="C430" s="27">
        <v>382</v>
      </c>
      <c r="D430" t="s">
        <v>564</v>
      </c>
      <c r="E430" s="8" t="str">
        <f t="shared" si="19"/>
        <v>REV-382</v>
      </c>
      <c r="F430" t="str">
        <f t="shared" si="18"/>
        <v>Nee</v>
      </c>
      <c r="G430" s="7">
        <v>0</v>
      </c>
      <c r="H430" s="7" t="s">
        <v>411</v>
      </c>
      <c r="I430" s="7" t="str">
        <f t="shared" si="20"/>
        <v/>
      </c>
    </row>
    <row r="431" spans="2:9" x14ac:dyDescent="0.25">
      <c r="B431" s="26" t="s">
        <v>561</v>
      </c>
      <c r="C431" s="27">
        <v>730</v>
      </c>
      <c r="D431" t="s">
        <v>564</v>
      </c>
      <c r="E431" s="8" t="str">
        <f t="shared" si="19"/>
        <v>REV-730</v>
      </c>
      <c r="F431" t="str">
        <f t="shared" si="18"/>
        <v>Ja</v>
      </c>
      <c r="G431" s="7">
        <v>1</v>
      </c>
      <c r="H431" s="7" t="s">
        <v>411</v>
      </c>
      <c r="I431" s="7" t="str">
        <f t="shared" si="20"/>
        <v/>
      </c>
    </row>
    <row r="432" spans="2:9" x14ac:dyDescent="0.25">
      <c r="B432" s="26" t="s">
        <v>562</v>
      </c>
      <c r="C432" s="27">
        <v>731</v>
      </c>
      <c r="D432" t="s">
        <v>564</v>
      </c>
      <c r="E432" s="8" t="str">
        <f t="shared" si="19"/>
        <v>REV-731</v>
      </c>
      <c r="F432" t="str">
        <f t="shared" si="18"/>
        <v>Ja</v>
      </c>
      <c r="G432" s="7">
        <v>1</v>
      </c>
      <c r="H432" s="7" t="s">
        <v>411</v>
      </c>
      <c r="I432" s="7" t="str">
        <f t="shared" si="20"/>
        <v/>
      </c>
    </row>
    <row r="433" spans="2:9" x14ac:dyDescent="0.25">
      <c r="B433" s="26" t="s">
        <v>563</v>
      </c>
      <c r="C433" s="27">
        <v>752</v>
      </c>
      <c r="D433" t="s">
        <v>564</v>
      </c>
      <c r="E433" s="8" t="str">
        <f t="shared" si="19"/>
        <v>REV-752</v>
      </c>
      <c r="F433" t="str">
        <f t="shared" si="18"/>
        <v>Nee</v>
      </c>
      <c r="G433" s="7">
        <v>0</v>
      </c>
      <c r="H433" s="7" t="s">
        <v>411</v>
      </c>
      <c r="I433" s="7" t="str">
        <f t="shared" si="20"/>
        <v/>
      </c>
    </row>
  </sheetData>
  <autoFilter ref="B7:J7" xr:uid="{9D3C54CB-74A3-463B-A32C-3088AC5F81DA}"/>
  <conditionalFormatting sqref="F8:F433">
    <cfRule type="containsText" dxfId="6" priority="1" operator="containsText" text="nee">
      <formula>NOT(ISERROR(SEARCH("nee",F8)))</formula>
    </cfRule>
    <cfRule type="containsText" dxfId="5" priority="2" operator="containsText" text="ja">
      <formula>NOT(ISERROR(SEARCH("ja",F8)))</formula>
    </cfRule>
  </conditionalFormatting>
  <dataValidations count="1">
    <dataValidation type="whole" operator="greaterThanOrEqual" allowBlank="1" showInputMessage="1" showErrorMessage="1" sqref="G8:G332" xr:uid="{BEA56855-3841-4F06-BB81-E9D93AB863AB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018D41-F2A2-4449-836A-2EC705C3735C}">
          <x14:formula1>
            <xm:f>Table!$B$6:$B$8</xm:f>
          </x14:formula1>
          <xm:sqref>H8:H433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495A-4400-4043-AD3B-83F509DB42E5}">
  <sheetPr>
    <pageSetUpPr fitToPage="1"/>
  </sheetPr>
  <dimension ref="B3:R501"/>
  <sheetViews>
    <sheetView zoomScale="70" zoomScaleNormal="70" workbookViewId="0">
      <selection activeCell="C18" sqref="C18"/>
    </sheetView>
  </sheetViews>
  <sheetFormatPr defaultRowHeight="15" x14ac:dyDescent="0.25"/>
  <cols>
    <col min="2" max="2" width="38.28515625" bestFit="1" customWidth="1"/>
    <col min="3" max="3" width="28" style="7" bestFit="1" customWidth="1"/>
    <col min="4" max="4" width="13.42578125" bestFit="1" customWidth="1"/>
    <col min="5" max="5" width="33.42578125" bestFit="1" customWidth="1"/>
    <col min="6" max="6" width="21.28515625" style="7" bestFit="1" customWidth="1"/>
    <col min="7" max="7" width="11.85546875" bestFit="1" customWidth="1"/>
    <col min="8" max="8" width="24" bestFit="1" customWidth="1"/>
    <col min="9" max="9" width="17" bestFit="1" customWidth="1"/>
    <col min="10" max="10" width="10.7109375" bestFit="1" customWidth="1"/>
    <col min="11" max="11" width="27.85546875" style="7" bestFit="1" customWidth="1"/>
    <col min="12" max="12" width="33.42578125" bestFit="1" customWidth="1"/>
    <col min="13" max="13" width="15" bestFit="1" customWidth="1"/>
    <col min="14" max="14" width="24.85546875" bestFit="1" customWidth="1"/>
    <col min="15" max="15" width="17.85546875" bestFit="1" customWidth="1"/>
    <col min="16" max="17" width="15" bestFit="1" customWidth="1"/>
    <col min="18" max="18" width="22.5703125" bestFit="1" customWidth="1"/>
  </cols>
  <sheetData>
    <row r="3" spans="2:12" ht="23.25" x14ac:dyDescent="0.35">
      <c r="B3" s="34" t="s">
        <v>413</v>
      </c>
      <c r="C3" s="34"/>
    </row>
    <row r="5" spans="2:12" x14ac:dyDescent="0.25">
      <c r="B5" s="12" t="s">
        <v>194</v>
      </c>
      <c r="C5" s="13"/>
    </row>
    <row r="7" spans="2:12" x14ac:dyDescent="0.25">
      <c r="B7" s="12" t="s">
        <v>96</v>
      </c>
      <c r="C7" s="14" t="str">
        <f>IF(C5="","",IF(LEFT(UPPER(C5),4)="REV-",_xlfn.XLOOKUP(UPPER(C5),verfvoorraad!E:E,verfvoorraad!B:B,"Niet gevonden"),IF(LEN(SUBSTITUTE(C5,".",""))=3,_xlfn.XLOOKUP(C5,verfvoorraad!C:C,verfvoorraad!B:B,"Niet gevonden"),_xlfn.XLOOKUP(IF(ISNUMBER(SEARCH(".",C5)),C5,LEFT(C5,2)&amp;"."&amp;RIGHT(C5,3)),verfvoorraad!E:E,verfvoorraad!B:B,"Niet gevonden"))))</f>
        <v/>
      </c>
    </row>
    <row r="8" spans="2:12" x14ac:dyDescent="0.25">
      <c r="B8" s="12" t="s">
        <v>404</v>
      </c>
      <c r="C8" s="14" t="str">
        <f>IF(C5="","",IF(LEFT(UPPER(C5),4)="REV-",_xlfn.XLOOKUP(UPPER(C5),verfvoorraad!E:E,verfvoorraad!D:D,"Niet gevonden"),IF(LEN(SUBSTITUTE(C5,".",""))=3,_xlfn.XLOOKUP(C5,verfvoorraad!C:C,verfvoorraad!D:D,"Niet gevonden"),_xlfn.XLOOKUP(IF(ISNUMBER(SEARCH(".",C5)),C5,LEFT(C5,2)&amp;"."&amp;RIGHT(C5,3)),verfvoorraad!E:E,verfvoorraad!D:D,"Niet gevonden"))))</f>
        <v/>
      </c>
    </row>
    <row r="9" spans="2:12" x14ac:dyDescent="0.25">
      <c r="B9" s="12" t="s">
        <v>405</v>
      </c>
      <c r="C9" s="14" t="str">
        <f>IF(C5="","",IF(LEFT(UPPER(C5),4)="REV-",_xlfn.XLOOKUP(UPPER(C5),verfvoorraad!E:E,verfvoorraad!F:F,"Niet gevonden"),IF(LEN(SUBSTITUTE(C5,".",""))=3,_xlfn.XLOOKUP(C5,verfvoorraad!C:C,verfvoorraad!F:F,"Niet gevonden"),_xlfn.XLOOKUP(IF(ISNUMBER(SEARCH(".",C5)),C5,LEFT(C5,2)&amp;"."&amp;RIGHT(C5,3)),verfvoorraad!E:E,verfvoorraad!F:F,"Niet gevonden"))))</f>
        <v/>
      </c>
    </row>
    <row r="10" spans="2:12" x14ac:dyDescent="0.25">
      <c r="B10" s="12" t="s">
        <v>406</v>
      </c>
      <c r="C10" s="14" t="str">
        <f>IF(C5="","",IF(LEFT(UPPER(C5),4)="REV-",_xlfn.XLOOKUP(UPPER(C5),verfvoorraad!E:E,verfvoorraad!G:G,"Niet gevonden"),IF(LEN(SUBSTITUTE(C5,".",""))=3,_xlfn.XLOOKUP(C5,verfvoorraad!C:C,verfvoorraad!G:G,"Niet gevonden"),_xlfn.XLOOKUP(IF(ISNUMBER(SEARCH(".",C5)),C5,LEFT(C5,2)&amp;"."&amp;RIGHT(C5,3)),verfvoorraad!E:E,verfvoorraad!G:G,"Niet gevonden"))))</f>
        <v/>
      </c>
    </row>
    <row r="11" spans="2:12" x14ac:dyDescent="0.25">
      <c r="B11" s="12" t="s">
        <v>407</v>
      </c>
      <c r="C11" s="14" t="str">
        <f>IF(C5="","",IF(LEFT(UPPER(C5),4)="REV-",_xlfn.XLOOKUP(UPPER(C5),verfvoorraad!E:E,verfvoorraad!H:H,"Niet gevonden"),IF(LEN(SUBSTITUTE(C5,".",""))=3,_xlfn.XLOOKUP(C5,verfvoorraad!C:C,verfvoorraad!H:H,"Niet gevonden"),_xlfn.XLOOKUP(IF(ISNUMBER(SEARCH(".",C5)),C5,LEFT(C5,2)&amp;"."&amp;RIGHT(C5,3)),verfvoorraad!E:E,verfvoorraad!H:H,"Niet gevonden"))))</f>
        <v/>
      </c>
    </row>
    <row r="12" spans="2:12" x14ac:dyDescent="0.25">
      <c r="B12" s="12" t="s">
        <v>414</v>
      </c>
      <c r="C12" s="14" t="str">
        <f>IF(C5="","",IF(LEFT(UPPER(C5),4)="REV-",_xlfn.XLOOKUP(UPPER(C5),verfvoorraad!E:E,verfvoorraad!E:E,"Niet gevonden"),IF(LEN(SUBSTITUTE(C5,".",""))=3,_xlfn.XLOOKUP(C5,verfvoorraad!C:C,verfvoorraad!E:E,"Niet gevonden"),_xlfn.XLOOKUP(IF(ISNUMBER(SEARCH(".",C5)),C5,LEFT(C5,2)&amp;"."&amp;RIGHT(C5,3)),verfvoorraad!E:E,verfvoorraad!E:E,"Niet gevonden"))))</f>
        <v/>
      </c>
    </row>
    <row r="15" spans="2:12" ht="23.25" x14ac:dyDescent="0.35">
      <c r="B15" s="35" t="s">
        <v>420</v>
      </c>
      <c r="C15" s="35"/>
      <c r="K15" s="35" t="s">
        <v>458</v>
      </c>
      <c r="L15" s="35"/>
    </row>
    <row r="17" spans="2:18" x14ac:dyDescent="0.25">
      <c r="B17" s="15" t="s">
        <v>421</v>
      </c>
      <c r="C17" s="16" t="s">
        <v>568</v>
      </c>
    </row>
    <row r="19" spans="2:18" ht="21" x14ac:dyDescent="0.35">
      <c r="B19" s="17" t="s">
        <v>422</v>
      </c>
      <c r="C19" s="18" t="s">
        <v>427</v>
      </c>
      <c r="D19" s="18" t="s">
        <v>423</v>
      </c>
      <c r="E19" s="17" t="s">
        <v>424</v>
      </c>
      <c r="F19" s="17" t="s">
        <v>410</v>
      </c>
      <c r="G19" s="17" t="s">
        <v>425</v>
      </c>
      <c r="H19" s="17" t="s">
        <v>426</v>
      </c>
      <c r="K19" s="18" t="s">
        <v>459</v>
      </c>
      <c r="L19" s="17" t="s">
        <v>96</v>
      </c>
      <c r="M19" s="17" t="s">
        <v>404</v>
      </c>
      <c r="N19" s="17" t="s">
        <v>414</v>
      </c>
      <c r="O19" s="17" t="s">
        <v>405</v>
      </c>
      <c r="P19" s="17" t="s">
        <v>406</v>
      </c>
      <c r="Q19" s="17" t="s">
        <v>407</v>
      </c>
      <c r="R19" s="17" t="s">
        <v>460</v>
      </c>
    </row>
    <row r="20" spans="2:18" x14ac:dyDescent="0.25">
      <c r="B20" t="str" cm="1">
        <f t="array" ref="B20:H49">IF(C17="","",_xlfn._xlws.SORT(_xlfn._xlws.FILTER(verfvoorraad!B8:H505,ISNUMBER(IFERROR(SEARCH(C17,verfvoorraad!B8:B505),"")),"Geen resultaten"),6,-1))</f>
        <v>Model Air - Sand Yellow</v>
      </c>
      <c r="C20" s="7" t="str">
        <v>028</v>
      </c>
      <c r="D20" t="str">
        <v>Model Air</v>
      </c>
      <c r="E20" t="str">
        <v>71.028</v>
      </c>
      <c r="F20" t="str">
        <v>Ja</v>
      </c>
      <c r="G20" s="19">
        <v>2</v>
      </c>
      <c r="H20" s="21" t="str">
        <v>Nee</v>
      </c>
      <c r="K20" s="8"/>
      <c r="L20" t="str">
        <f>IF(K20="","",IFERROR(_xlfn.XLOOKUP(K20,verfvoorraad!C:C,verfvoorraad!B:B),IFERROR(_xlfn.XLOOKUP(IF(LEFT(UPPER(K20),4)="REV-","REV-"&amp;VALUE(MID(K20,5,99)),IF(LEN(K20)=5,LEFT(K20,2)&amp;"."&amp;RIGHT(K20,3),K20)),verfvoorraad!E:E,verfvoorraad!B:B),"Niet gevonden")))</f>
        <v/>
      </c>
      <c r="M20" t="str">
        <f>IF(K20="","",IFERROR(_xlfn.XLOOKUP(K20,verfvoorraad!C:C,verfvoorraad!D:D),IFERROR(_xlfn.XLOOKUP(IF(LEFT(UPPER(K20),4)="REV-","REV-"&amp;VALUE(MID(K20,5,99)),IF(LEN(K20)=5,LEFT(K20,2)&amp;"."&amp;RIGHT(K20,3),K20)),verfvoorraad!E:E,verfvoorraad!D:D),"Niet gevonden")))</f>
        <v/>
      </c>
      <c r="N20" t="str">
        <f>IF(K20="","",IFERROR(_xlfn.XLOOKUP(K20,verfvoorraad!C:C,verfvoorraad!E:E),IFERROR(_xlfn.XLOOKUP(IF(LEFT(UPPER(K20),4)="REV-","REV-"&amp;VALUE(MID(K20,5,99)),IF(LEN(K20)=5,LEFT(K20,2)&amp;"."&amp;RIGHT(K20,3),K20)),verfvoorraad!E:E,verfvoorraad!E:E),"Niet gevonden")))</f>
        <v/>
      </c>
      <c r="O20" t="str">
        <f>IF(K20="","",IFERROR(_xlfn.XLOOKUP(K20,verfvoorraad!C:C,verfvoorraad!F:F),IFERROR(_xlfn.XLOOKUP(IF(LEFT(UPPER(K20),4)="REV-","REV-"&amp;VALUE(MID(K20,5,99)),IF(LEN(K20)=5,LEFT(K20,2)&amp;"."&amp;RIGHT(K20,3),K20)),verfvoorraad!E:E,verfvoorraad!F:F),"Niet gevonden")))</f>
        <v/>
      </c>
      <c r="P20" t="str">
        <f>IF(K20="","",IFERROR(_xlfn.XLOOKUP(K20,verfvoorraad!C:C,verfvoorraad!G:G),IFERROR(_xlfn.XLOOKUP(IF(LEFT(UPPER(K20),4)="REV-","REV-"&amp;VALUE(MID(K20,5,99)),IF(LEN(K20)=5,LEFT(K20,2)&amp;"."&amp;RIGHT(K20,3),K20)),verfvoorraad!E:E,verfvoorraad!G:G),"Niet gevonden")))</f>
        <v/>
      </c>
      <c r="Q20" t="str">
        <f>IF(K20="","",IF(O20="Ja","Nee",IF(O20="Nee","Ja",IF(O20="Niet gevonden","Niet gevonden",""))))</f>
        <v/>
      </c>
      <c r="R20" t="str">
        <f>IF(Q20="Ja","Toevoegen","")</f>
        <v/>
      </c>
    </row>
    <row r="21" spans="2:18" x14ac:dyDescent="0.25">
      <c r="B21" t="str">
        <v>Gloss Yellow</v>
      </c>
      <c r="C21" s="7">
        <v>12</v>
      </c>
      <c r="D21" t="str">
        <v>Enamel Revell</v>
      </c>
      <c r="E21" t="str">
        <v>REV-12</v>
      </c>
      <c r="F21" t="str">
        <v>Ja</v>
      </c>
      <c r="G21" s="20">
        <v>2</v>
      </c>
      <c r="H21" s="21" t="str">
        <v>Nee</v>
      </c>
      <c r="K21" s="8"/>
      <c r="L21" t="str">
        <f>IF(K21="","",IFERROR(_xlfn.XLOOKUP(K21,verfvoorraad!C:C,verfvoorraad!B:B),IFERROR(_xlfn.XLOOKUP(IF(LEFT(UPPER(K21),4)="REV-","REV-"&amp;VALUE(MID(K21,5,99)),IF(LEN(K21)=5,LEFT(K21,2)&amp;"."&amp;RIGHT(K21,3),K21)),verfvoorraad!E:E,verfvoorraad!B:B),"Niet gevonden")))</f>
        <v/>
      </c>
      <c r="M21" t="str">
        <f>IF(K21="","",IFERROR(_xlfn.XLOOKUP(K21,verfvoorraad!C:C,verfvoorraad!D:D),IFERROR(_xlfn.XLOOKUP(IF(LEFT(UPPER(K21),4)="REV-","REV-"&amp;VALUE(MID(K21,5,99)),IF(LEN(K21)=5,LEFT(K21,2)&amp;"."&amp;RIGHT(K21,3),K21)),verfvoorraad!E:E,verfvoorraad!D:D),"Niet gevonden")))</f>
        <v/>
      </c>
      <c r="N21" t="str">
        <f>IF(K21="","",IFERROR(_xlfn.XLOOKUP(K21,verfvoorraad!C:C,verfvoorraad!E:E),IFERROR(_xlfn.XLOOKUP(IF(LEFT(UPPER(K21),4)="REV-","REV-"&amp;VALUE(MID(K21,5,99)),IF(LEN(K21)=5,LEFT(K21,2)&amp;"."&amp;RIGHT(K21,3),K21)),verfvoorraad!E:E,verfvoorraad!E:E),"Niet gevonden")))</f>
        <v/>
      </c>
      <c r="O21" t="str">
        <f>IF(K21="","",IFERROR(_xlfn.XLOOKUP(K21,verfvoorraad!C:C,verfvoorraad!F:F),IFERROR(_xlfn.XLOOKUP(IF(LEFT(UPPER(K21),4)="REV-","REV-"&amp;VALUE(MID(K21,5,99)),IF(LEN(K21)=5,LEFT(K21,2)&amp;"."&amp;RIGHT(K21,3),K21)),verfvoorraad!E:E,verfvoorraad!F:F),"Niet gevonden")))</f>
        <v/>
      </c>
      <c r="P21" t="str">
        <f>IF(K21="","",IFERROR(_xlfn.XLOOKUP(K21,verfvoorraad!C:C,verfvoorraad!G:G),IFERROR(_xlfn.XLOOKUP(IF(LEFT(UPPER(K21),4)="REV-","REV-"&amp;VALUE(MID(K21,5,99)),IF(LEN(K21)=5,LEFT(K21,2)&amp;"."&amp;RIGHT(K21,3),K21)),verfvoorraad!E:E,verfvoorraad!G:G),"Niet gevonden")))</f>
        <v/>
      </c>
      <c r="Q21" t="str">
        <f t="shared" ref="Q21:Q84" si="0">IF(K21="","",IF(O21="Ja","Nee",IF(O21="Nee","Ja",IF(O21="Niet gevonden","Niet gevonden",""))))</f>
        <v/>
      </c>
      <c r="R21" t="str">
        <f t="shared" ref="R21:R84" si="1">IF(Q21="Ja","Toevoegen","")</f>
        <v/>
      </c>
    </row>
    <row r="22" spans="2:18" x14ac:dyDescent="0.25">
      <c r="B22" t="str">
        <v>Model Air - Yellow</v>
      </c>
      <c r="C22" s="7" t="str">
        <v>002</v>
      </c>
      <c r="D22" t="str">
        <v>Model Air</v>
      </c>
      <c r="E22" t="str">
        <v>71.002</v>
      </c>
      <c r="F22" t="str">
        <v>Ja</v>
      </c>
      <c r="G22" s="20">
        <v>1</v>
      </c>
      <c r="H22" s="21" t="str">
        <v>Nee</v>
      </c>
      <c r="K22" s="8"/>
      <c r="L22" t="str">
        <f>IF(K22="","",IFERROR(_xlfn.XLOOKUP(K22,verfvoorraad!C:C,verfvoorraad!B:B),IFERROR(_xlfn.XLOOKUP(IF(LEFT(UPPER(K22),4)="REV-","REV-"&amp;VALUE(MID(K22,5,99)),IF(LEN(K22)=5,LEFT(K22,2)&amp;"."&amp;RIGHT(K22,3),K22)),verfvoorraad!E:E,verfvoorraad!B:B),"Niet gevonden")))</f>
        <v/>
      </c>
      <c r="M22" t="str">
        <f>IF(K22="","",IFERROR(_xlfn.XLOOKUP(K22,verfvoorraad!C:C,verfvoorraad!D:D),IFERROR(_xlfn.XLOOKUP(IF(LEFT(UPPER(K22),4)="REV-","REV-"&amp;VALUE(MID(K22,5,99)),IF(LEN(K22)=5,LEFT(K22,2)&amp;"."&amp;RIGHT(K22,3),K22)),verfvoorraad!E:E,verfvoorraad!D:D),"Niet gevonden")))</f>
        <v/>
      </c>
      <c r="N22" t="str">
        <f>IF(K22="","",IFERROR(_xlfn.XLOOKUP(K22,verfvoorraad!C:C,verfvoorraad!E:E),IFERROR(_xlfn.XLOOKUP(IF(LEFT(UPPER(K22),4)="REV-","REV-"&amp;VALUE(MID(K22,5,99)),IF(LEN(K22)=5,LEFT(K22,2)&amp;"."&amp;RIGHT(K22,3),K22)),verfvoorraad!E:E,verfvoorraad!E:E),"Niet gevonden")))</f>
        <v/>
      </c>
      <c r="O22" t="str">
        <f>IF(K22="","",IFERROR(_xlfn.XLOOKUP(K22,verfvoorraad!C:C,verfvoorraad!F:F),IFERROR(_xlfn.XLOOKUP(IF(LEFT(UPPER(K22),4)="REV-","REV-"&amp;VALUE(MID(K22,5,99)),IF(LEN(K22)=5,LEFT(K22,2)&amp;"."&amp;RIGHT(K22,3),K22)),verfvoorraad!E:E,verfvoorraad!F:F),"Niet gevonden")))</f>
        <v/>
      </c>
      <c r="P22" t="str">
        <f>IF(K22="","",IFERROR(_xlfn.XLOOKUP(K22,verfvoorraad!C:C,verfvoorraad!G:G),IFERROR(_xlfn.XLOOKUP(IF(LEFT(UPPER(K22),4)="REV-","REV-"&amp;VALUE(MID(K22,5,99)),IF(LEN(K22)=5,LEFT(K22,2)&amp;"."&amp;RIGHT(K22,3),K22)),verfvoorraad!E:E,verfvoorraad!G:G),"Niet gevonden")))</f>
        <v/>
      </c>
      <c r="Q22" t="str">
        <f t="shared" si="0"/>
        <v/>
      </c>
      <c r="R22" t="str">
        <f t="shared" si="1"/>
        <v/>
      </c>
    </row>
    <row r="23" spans="2:18" x14ac:dyDescent="0.25">
      <c r="B23" t="str">
        <v>Model Air - Yellow Olive</v>
      </c>
      <c r="C23" s="7" t="str">
        <v>013</v>
      </c>
      <c r="D23" t="str">
        <v>Model Air</v>
      </c>
      <c r="E23" t="str">
        <v>71.013</v>
      </c>
      <c r="F23" t="str">
        <v>Ja</v>
      </c>
      <c r="G23" s="20">
        <v>1</v>
      </c>
      <c r="H23" s="21" t="str">
        <v>Nee</v>
      </c>
      <c r="K23" s="8"/>
      <c r="L23" t="str">
        <f>IF(K23="","",IFERROR(_xlfn.XLOOKUP(K23,verfvoorraad!C:C,verfvoorraad!B:B),IFERROR(_xlfn.XLOOKUP(IF(LEFT(UPPER(K23),4)="REV-","REV-"&amp;VALUE(MID(K23,5,99)),IF(LEN(K23)=5,LEFT(K23,2)&amp;"."&amp;RIGHT(K23,3),K23)),verfvoorraad!E:E,verfvoorraad!B:B),"Niet gevonden")))</f>
        <v/>
      </c>
      <c r="M23" t="str">
        <f>IF(K23="","",IFERROR(_xlfn.XLOOKUP(K23,verfvoorraad!C:C,verfvoorraad!D:D),IFERROR(_xlfn.XLOOKUP(IF(LEFT(UPPER(K23),4)="REV-","REV-"&amp;VALUE(MID(K23,5,99)),IF(LEN(K23)=5,LEFT(K23,2)&amp;"."&amp;RIGHT(K23,3),K23)),verfvoorraad!E:E,verfvoorraad!D:D),"Niet gevonden")))</f>
        <v/>
      </c>
      <c r="N23" t="str">
        <f>IF(K23="","",IFERROR(_xlfn.XLOOKUP(K23,verfvoorraad!C:C,verfvoorraad!E:E),IFERROR(_xlfn.XLOOKUP(IF(LEFT(UPPER(K23),4)="REV-","REV-"&amp;VALUE(MID(K23,5,99)),IF(LEN(K23)=5,LEFT(K23,2)&amp;"."&amp;RIGHT(K23,3),K23)),verfvoorraad!E:E,verfvoorraad!E:E),"Niet gevonden")))</f>
        <v/>
      </c>
      <c r="O23" t="str">
        <f>IF(K23="","",IFERROR(_xlfn.XLOOKUP(K23,verfvoorraad!C:C,verfvoorraad!F:F),IFERROR(_xlfn.XLOOKUP(IF(LEFT(UPPER(K23),4)="REV-","REV-"&amp;VALUE(MID(K23,5,99)),IF(LEN(K23)=5,LEFT(K23,2)&amp;"."&amp;RIGHT(K23,3),K23)),verfvoorraad!E:E,verfvoorraad!F:F),"Niet gevonden")))</f>
        <v/>
      </c>
      <c r="P23" t="str">
        <f>IF(K23="","",IFERROR(_xlfn.XLOOKUP(K23,verfvoorraad!C:C,verfvoorraad!G:G),IFERROR(_xlfn.XLOOKUP(IF(LEFT(UPPER(K23),4)="REV-","REV-"&amp;VALUE(MID(K23,5,99)),IF(LEN(K23)=5,LEFT(K23,2)&amp;"."&amp;RIGHT(K23,3),K23)),verfvoorraad!E:E,verfvoorraad!G:G),"Niet gevonden")))</f>
        <v/>
      </c>
      <c r="Q23" t="str">
        <f t="shared" si="0"/>
        <v/>
      </c>
      <c r="R23" t="str">
        <f t="shared" si="1"/>
        <v/>
      </c>
    </row>
    <row r="24" spans="2:18" x14ac:dyDescent="0.25">
      <c r="B24" t="str">
        <v>Model Air - Dark Yellow</v>
      </c>
      <c r="C24" s="7" t="str">
        <v>025</v>
      </c>
      <c r="D24" t="str">
        <v>Model Air</v>
      </c>
      <c r="E24" t="str">
        <v>71.025</v>
      </c>
      <c r="F24" t="str">
        <v>Ja</v>
      </c>
      <c r="G24" s="20">
        <v>1</v>
      </c>
      <c r="H24" s="21" t="str">
        <v>Nee</v>
      </c>
      <c r="K24" s="8"/>
      <c r="L24" t="str">
        <f>IF(K24="","",IFERROR(_xlfn.XLOOKUP(K24,verfvoorraad!C:C,verfvoorraad!B:B),IFERROR(_xlfn.XLOOKUP(IF(LEFT(UPPER(K24),4)="REV-","REV-"&amp;VALUE(MID(K24,5,99)),IF(LEN(K24)=5,LEFT(K24,2)&amp;"."&amp;RIGHT(K24,3),K24)),verfvoorraad!E:E,verfvoorraad!B:B),"Niet gevonden")))</f>
        <v/>
      </c>
      <c r="M24" t="str">
        <f>IF(K24="","",IFERROR(_xlfn.XLOOKUP(K24,verfvoorraad!C:C,verfvoorraad!D:D),IFERROR(_xlfn.XLOOKUP(IF(LEFT(UPPER(K24),4)="REV-","REV-"&amp;VALUE(MID(K24,5,99)),IF(LEN(K24)=5,LEFT(K24,2)&amp;"."&amp;RIGHT(K24,3),K24)),verfvoorraad!E:E,verfvoorraad!D:D),"Niet gevonden")))</f>
        <v/>
      </c>
      <c r="N24" t="str">
        <f>IF(K24="","",IFERROR(_xlfn.XLOOKUP(K24,verfvoorraad!C:C,verfvoorraad!E:E),IFERROR(_xlfn.XLOOKUP(IF(LEFT(UPPER(K24),4)="REV-","REV-"&amp;VALUE(MID(K24,5,99)),IF(LEN(K24)=5,LEFT(K24,2)&amp;"."&amp;RIGHT(K24,3),K24)),verfvoorraad!E:E,verfvoorraad!E:E),"Niet gevonden")))</f>
        <v/>
      </c>
      <c r="O24" t="str">
        <f>IF(K24="","",IFERROR(_xlfn.XLOOKUP(K24,verfvoorraad!C:C,verfvoorraad!F:F),IFERROR(_xlfn.XLOOKUP(IF(LEFT(UPPER(K24),4)="REV-","REV-"&amp;VALUE(MID(K24,5,99)),IF(LEN(K24)=5,LEFT(K24,2)&amp;"."&amp;RIGHT(K24,3),K24)),verfvoorraad!E:E,verfvoorraad!F:F),"Niet gevonden")))</f>
        <v/>
      </c>
      <c r="P24" t="str">
        <f>IF(K24="","",IFERROR(_xlfn.XLOOKUP(K24,verfvoorraad!C:C,verfvoorraad!G:G),IFERROR(_xlfn.XLOOKUP(IF(LEFT(UPPER(K24),4)="REV-","REV-"&amp;VALUE(MID(K24,5,99)),IF(LEN(K24)=5,LEFT(K24,2)&amp;"."&amp;RIGHT(K24,3),K24)),verfvoorraad!E:E,verfvoorraad!G:G),"Niet gevonden")))</f>
        <v/>
      </c>
      <c r="Q24" t="str">
        <f t="shared" si="0"/>
        <v/>
      </c>
      <c r="R24" t="str">
        <f t="shared" si="1"/>
        <v/>
      </c>
    </row>
    <row r="25" spans="2:18" x14ac:dyDescent="0.25">
      <c r="B25" t="str">
        <v>Model Air - Gold Yellow</v>
      </c>
      <c r="C25" s="7" t="str">
        <v>078</v>
      </c>
      <c r="D25" t="str">
        <v>Model Air</v>
      </c>
      <c r="E25" t="str">
        <v>71.078</v>
      </c>
      <c r="F25" t="str">
        <v>Ja</v>
      </c>
      <c r="G25" s="20">
        <v>1</v>
      </c>
      <c r="H25" s="21" t="str">
        <v>Nee</v>
      </c>
      <c r="K25" s="8"/>
      <c r="L25" t="str">
        <f>IF(K25="","",IFERROR(_xlfn.XLOOKUP(K25,verfvoorraad!C:C,verfvoorraad!B:B),IFERROR(_xlfn.XLOOKUP(IF(LEFT(UPPER(K25),4)="REV-","REV-"&amp;VALUE(MID(K25,5,99)),IF(LEN(K25)=5,LEFT(K25,2)&amp;"."&amp;RIGHT(K25,3),K25)),verfvoorraad!E:E,verfvoorraad!B:B),"Niet gevonden")))</f>
        <v/>
      </c>
      <c r="M25" t="str">
        <f>IF(K25="","",IFERROR(_xlfn.XLOOKUP(K25,verfvoorraad!C:C,verfvoorraad!D:D),IFERROR(_xlfn.XLOOKUP(IF(LEFT(UPPER(K25),4)="REV-","REV-"&amp;VALUE(MID(K25,5,99)),IF(LEN(K25)=5,LEFT(K25,2)&amp;"."&amp;RIGHT(K25,3),K25)),verfvoorraad!E:E,verfvoorraad!D:D),"Niet gevonden")))</f>
        <v/>
      </c>
      <c r="N25" t="str">
        <f>IF(K25="","",IFERROR(_xlfn.XLOOKUP(K25,verfvoorraad!C:C,verfvoorraad!E:E),IFERROR(_xlfn.XLOOKUP(IF(LEFT(UPPER(K25),4)="REV-","REV-"&amp;VALUE(MID(K25,5,99)),IF(LEN(K25)=5,LEFT(K25,2)&amp;"."&amp;RIGHT(K25,3),K25)),verfvoorraad!E:E,verfvoorraad!E:E),"Niet gevonden")))</f>
        <v/>
      </c>
      <c r="O25" t="str">
        <f>IF(K25="","",IFERROR(_xlfn.XLOOKUP(K25,verfvoorraad!C:C,verfvoorraad!F:F),IFERROR(_xlfn.XLOOKUP(IF(LEFT(UPPER(K25),4)="REV-","REV-"&amp;VALUE(MID(K25,5,99)),IF(LEN(K25)=5,LEFT(K25,2)&amp;"."&amp;RIGHT(K25,3),K25)),verfvoorraad!E:E,verfvoorraad!F:F),"Niet gevonden")))</f>
        <v/>
      </c>
      <c r="P25" t="str">
        <f>IF(K25="","",IFERROR(_xlfn.XLOOKUP(K25,verfvoorraad!C:C,verfvoorraad!G:G),IFERROR(_xlfn.XLOOKUP(IF(LEFT(UPPER(K25),4)="REV-","REV-"&amp;VALUE(MID(K25,5,99)),IF(LEN(K25)=5,LEFT(K25,2)&amp;"."&amp;RIGHT(K25,3),K25)),verfvoorraad!E:E,verfvoorraad!G:G),"Niet gevonden")))</f>
        <v/>
      </c>
      <c r="Q25" t="str">
        <f t="shared" si="0"/>
        <v/>
      </c>
      <c r="R25" t="str">
        <f t="shared" si="1"/>
        <v/>
      </c>
    </row>
    <row r="26" spans="2:18" x14ac:dyDescent="0.25">
      <c r="B26" t="str">
        <v>Model Air - US Earth Yellow</v>
      </c>
      <c r="C26" s="7" t="str">
        <v>291</v>
      </c>
      <c r="D26" t="str">
        <v>Model Air</v>
      </c>
      <c r="E26" t="str">
        <v>71.291</v>
      </c>
      <c r="F26" t="str">
        <v>Ja</v>
      </c>
      <c r="G26" s="20">
        <v>1</v>
      </c>
      <c r="H26" s="21" t="str">
        <v>Nee</v>
      </c>
      <c r="K26" s="8"/>
      <c r="L26" t="str">
        <f>IF(K26="","",IFERROR(_xlfn.XLOOKUP(K26,verfvoorraad!C:C,verfvoorraad!B:B),IFERROR(_xlfn.XLOOKUP(IF(LEFT(UPPER(K26),4)="REV-","REV-"&amp;VALUE(MID(K26,5,99)),IF(LEN(K26)=5,LEFT(K26,2)&amp;"."&amp;RIGHT(K26,3),K26)),verfvoorraad!E:E,verfvoorraad!B:B),"Niet gevonden")))</f>
        <v/>
      </c>
      <c r="M26" t="str">
        <f>IF(K26="","",IFERROR(_xlfn.XLOOKUP(K26,verfvoorraad!C:C,verfvoorraad!D:D),IFERROR(_xlfn.XLOOKUP(IF(LEFT(UPPER(K26),4)="REV-","REV-"&amp;VALUE(MID(K26,5,99)),IF(LEN(K26)=5,LEFT(K26,2)&amp;"."&amp;RIGHT(K26,3),K26)),verfvoorraad!E:E,verfvoorraad!D:D),"Niet gevonden")))</f>
        <v/>
      </c>
      <c r="N26" t="str">
        <f>IF(K26="","",IFERROR(_xlfn.XLOOKUP(K26,verfvoorraad!C:C,verfvoorraad!E:E),IFERROR(_xlfn.XLOOKUP(IF(LEFT(UPPER(K26),4)="REV-","REV-"&amp;VALUE(MID(K26,5,99)),IF(LEN(K26)=5,LEFT(K26,2)&amp;"."&amp;RIGHT(K26,3),K26)),verfvoorraad!E:E,verfvoorraad!E:E),"Niet gevonden")))</f>
        <v/>
      </c>
      <c r="O26" t="str">
        <f>IF(K26="","",IFERROR(_xlfn.XLOOKUP(K26,verfvoorraad!C:C,verfvoorraad!F:F),IFERROR(_xlfn.XLOOKUP(IF(LEFT(UPPER(K26),4)="REV-","REV-"&amp;VALUE(MID(K26,5,99)),IF(LEN(K26)=5,LEFT(K26,2)&amp;"."&amp;RIGHT(K26,3),K26)),verfvoorraad!E:E,verfvoorraad!F:F),"Niet gevonden")))</f>
        <v/>
      </c>
      <c r="P26" t="str">
        <f>IF(K26="","",IFERROR(_xlfn.XLOOKUP(K26,verfvoorraad!C:C,verfvoorraad!G:G),IFERROR(_xlfn.XLOOKUP(IF(LEFT(UPPER(K26),4)="REV-","REV-"&amp;VALUE(MID(K26,5,99)),IF(LEN(K26)=5,LEFT(K26,2)&amp;"."&amp;RIGHT(K26,3),K26)),verfvoorraad!E:E,verfvoorraad!G:G),"Niet gevonden")))</f>
        <v/>
      </c>
      <c r="Q26" t="str">
        <f t="shared" si="0"/>
        <v/>
      </c>
      <c r="R26" t="str">
        <f t="shared" si="1"/>
        <v/>
      </c>
    </row>
    <row r="27" spans="2:18" x14ac:dyDescent="0.25">
      <c r="B27" t="str">
        <v>Flat Yellow</v>
      </c>
      <c r="C27" s="7">
        <v>15</v>
      </c>
      <c r="D27" t="str">
        <v>Enamel Revell</v>
      </c>
      <c r="E27" t="str">
        <v>REV-15</v>
      </c>
      <c r="F27" t="str">
        <v>Ja</v>
      </c>
      <c r="G27" s="20">
        <v>1</v>
      </c>
      <c r="H27" s="21" t="str">
        <v>Nee</v>
      </c>
      <c r="K27" s="8"/>
      <c r="L27" t="str">
        <f>IF(K27="","",IFERROR(_xlfn.XLOOKUP(K27,verfvoorraad!C:C,verfvoorraad!B:B),IFERROR(_xlfn.XLOOKUP(IF(LEFT(UPPER(K27),4)="REV-","REV-"&amp;VALUE(MID(K27,5,99)),IF(LEN(K27)=5,LEFT(K27,2)&amp;"."&amp;RIGHT(K27,3),K27)),verfvoorraad!E:E,verfvoorraad!B:B),"Niet gevonden")))</f>
        <v/>
      </c>
      <c r="M27" t="str">
        <f>IF(K27="","",IFERROR(_xlfn.XLOOKUP(K27,verfvoorraad!C:C,verfvoorraad!D:D),IFERROR(_xlfn.XLOOKUP(IF(LEFT(UPPER(K27),4)="REV-","REV-"&amp;VALUE(MID(K27,5,99)),IF(LEN(K27)=5,LEFT(K27,2)&amp;"."&amp;RIGHT(K27,3),K27)),verfvoorraad!E:E,verfvoorraad!D:D),"Niet gevonden")))</f>
        <v/>
      </c>
      <c r="N27" t="str">
        <f>IF(K27="","",IFERROR(_xlfn.XLOOKUP(K27,verfvoorraad!C:C,verfvoorraad!E:E),IFERROR(_xlfn.XLOOKUP(IF(LEFT(UPPER(K27),4)="REV-","REV-"&amp;VALUE(MID(K27,5,99)),IF(LEN(K27)=5,LEFT(K27,2)&amp;"."&amp;RIGHT(K27,3),K27)),verfvoorraad!E:E,verfvoorraad!E:E),"Niet gevonden")))</f>
        <v/>
      </c>
      <c r="O27" t="str">
        <f>IF(K27="","",IFERROR(_xlfn.XLOOKUP(K27,verfvoorraad!C:C,verfvoorraad!F:F),IFERROR(_xlfn.XLOOKUP(IF(LEFT(UPPER(K27),4)="REV-","REV-"&amp;VALUE(MID(K27,5,99)),IF(LEN(K27)=5,LEFT(K27,2)&amp;"."&amp;RIGHT(K27,3),K27)),verfvoorraad!E:E,verfvoorraad!F:F),"Niet gevonden")))</f>
        <v/>
      </c>
      <c r="P27" t="str">
        <f>IF(K27="","",IFERROR(_xlfn.XLOOKUP(K27,verfvoorraad!C:C,verfvoorraad!G:G),IFERROR(_xlfn.XLOOKUP(IF(LEFT(UPPER(K27),4)="REV-","REV-"&amp;VALUE(MID(K27,5,99)),IF(LEN(K27)=5,LEFT(K27,2)&amp;"."&amp;RIGHT(K27,3),K27)),verfvoorraad!E:E,verfvoorraad!G:G),"Niet gevonden")))</f>
        <v/>
      </c>
      <c r="Q27" t="str">
        <f t="shared" si="0"/>
        <v/>
      </c>
      <c r="R27" t="str">
        <f t="shared" si="1"/>
        <v/>
      </c>
    </row>
    <row r="28" spans="2:18" x14ac:dyDescent="0.25">
      <c r="B28" t="str">
        <v>Flat Sandy Yellow</v>
      </c>
      <c r="C28" s="7">
        <v>16</v>
      </c>
      <c r="D28" t="str">
        <v>Enamel Revell</v>
      </c>
      <c r="E28" t="str">
        <v>REV-16</v>
      </c>
      <c r="F28" t="str">
        <v>Ja</v>
      </c>
      <c r="G28" s="20">
        <v>1</v>
      </c>
      <c r="H28" s="21" t="str">
        <v>Nee</v>
      </c>
      <c r="K28" s="8"/>
      <c r="L28" t="str">
        <f>IF(K28="","",IFERROR(_xlfn.XLOOKUP(K28,verfvoorraad!C:C,verfvoorraad!B:B),IFERROR(_xlfn.XLOOKUP(IF(LEFT(UPPER(K28),4)="REV-","REV-"&amp;VALUE(MID(K28,5,99)),IF(LEN(K28)=5,LEFT(K28,2)&amp;"."&amp;RIGHT(K28,3),K28)),verfvoorraad!E:E,verfvoorraad!B:B),"Niet gevonden")))</f>
        <v/>
      </c>
      <c r="M28" t="str">
        <f>IF(K28="","",IFERROR(_xlfn.XLOOKUP(K28,verfvoorraad!C:C,verfvoorraad!D:D),IFERROR(_xlfn.XLOOKUP(IF(LEFT(UPPER(K28),4)="REV-","REV-"&amp;VALUE(MID(K28,5,99)),IF(LEN(K28)=5,LEFT(K28,2)&amp;"."&amp;RIGHT(K28,3),K28)),verfvoorraad!E:E,verfvoorraad!D:D),"Niet gevonden")))</f>
        <v/>
      </c>
      <c r="N28" t="str">
        <f>IF(K28="","",IFERROR(_xlfn.XLOOKUP(K28,verfvoorraad!C:C,verfvoorraad!E:E),IFERROR(_xlfn.XLOOKUP(IF(LEFT(UPPER(K28),4)="REV-","REV-"&amp;VALUE(MID(K28,5,99)),IF(LEN(K28)=5,LEFT(K28,2)&amp;"."&amp;RIGHT(K28,3),K28)),verfvoorraad!E:E,verfvoorraad!E:E),"Niet gevonden")))</f>
        <v/>
      </c>
      <c r="O28" t="str">
        <f>IF(K28="","",IFERROR(_xlfn.XLOOKUP(K28,verfvoorraad!C:C,verfvoorraad!F:F),IFERROR(_xlfn.XLOOKUP(IF(LEFT(UPPER(K28),4)="REV-","REV-"&amp;VALUE(MID(K28,5,99)),IF(LEN(K28)=5,LEFT(K28,2)&amp;"."&amp;RIGHT(K28,3),K28)),verfvoorraad!E:E,verfvoorraad!F:F),"Niet gevonden")))</f>
        <v/>
      </c>
      <c r="P28" t="str">
        <f>IF(K28="","",IFERROR(_xlfn.XLOOKUP(K28,verfvoorraad!C:C,verfvoorraad!G:G),IFERROR(_xlfn.XLOOKUP(IF(LEFT(UPPER(K28),4)="REV-","REV-"&amp;VALUE(MID(K28,5,99)),IF(LEN(K28)=5,LEFT(K28,2)&amp;"."&amp;RIGHT(K28,3),K28)),verfvoorraad!E:E,verfvoorraad!G:G),"Niet gevonden")))</f>
        <v/>
      </c>
      <c r="Q28" t="str">
        <f t="shared" si="0"/>
        <v/>
      </c>
      <c r="R28" t="str">
        <f t="shared" si="1"/>
        <v/>
      </c>
    </row>
    <row r="29" spans="2:18" x14ac:dyDescent="0.25">
      <c r="B29" t="str">
        <v>Model Air - Tank Dark Yellow 1943</v>
      </c>
      <c r="C29" s="7" t="str">
        <v>081</v>
      </c>
      <c r="D29" t="str">
        <v>Model Air</v>
      </c>
      <c r="E29" t="str">
        <v>71.081</v>
      </c>
      <c r="F29" t="str">
        <v>Nee</v>
      </c>
      <c r="G29" s="20">
        <v>0</v>
      </c>
      <c r="H29" s="21" t="str">
        <v>Nee</v>
      </c>
      <c r="K29" s="8"/>
      <c r="L29" t="str">
        <f>IF(K29="","",IFERROR(_xlfn.XLOOKUP(K29,verfvoorraad!C:C,verfvoorraad!B:B),IFERROR(_xlfn.XLOOKUP(IF(LEFT(UPPER(K29),4)="REV-","REV-"&amp;VALUE(MID(K29,5,99)),IF(LEN(K29)=5,LEFT(K29,2)&amp;"."&amp;RIGHT(K29,3),K29)),verfvoorraad!E:E,verfvoorraad!B:B),"Niet gevonden")))</f>
        <v/>
      </c>
      <c r="M29" t="str">
        <f>IF(K29="","",IFERROR(_xlfn.XLOOKUP(K29,verfvoorraad!C:C,verfvoorraad!D:D),IFERROR(_xlfn.XLOOKUP(IF(LEFT(UPPER(K29),4)="REV-","REV-"&amp;VALUE(MID(K29,5,99)),IF(LEN(K29)=5,LEFT(K29,2)&amp;"."&amp;RIGHT(K29,3),K29)),verfvoorraad!E:E,verfvoorraad!D:D),"Niet gevonden")))</f>
        <v/>
      </c>
      <c r="N29" t="str">
        <f>IF(K29="","",IFERROR(_xlfn.XLOOKUP(K29,verfvoorraad!C:C,verfvoorraad!E:E),IFERROR(_xlfn.XLOOKUP(IF(LEFT(UPPER(K29),4)="REV-","REV-"&amp;VALUE(MID(K29,5,99)),IF(LEN(K29)=5,LEFT(K29,2)&amp;"."&amp;RIGHT(K29,3),K29)),verfvoorraad!E:E,verfvoorraad!E:E),"Niet gevonden")))</f>
        <v/>
      </c>
      <c r="O29" t="str">
        <f>IF(K29="","",IFERROR(_xlfn.XLOOKUP(K29,verfvoorraad!C:C,verfvoorraad!F:F),IFERROR(_xlfn.XLOOKUP(IF(LEFT(UPPER(K29),4)="REV-","REV-"&amp;VALUE(MID(K29,5,99)),IF(LEN(K29)=5,LEFT(K29,2)&amp;"."&amp;RIGHT(K29,3),K29)),verfvoorraad!E:E,verfvoorraad!F:F),"Niet gevonden")))</f>
        <v/>
      </c>
      <c r="P29" t="str">
        <f>IF(K29="","",IFERROR(_xlfn.XLOOKUP(K29,verfvoorraad!C:C,verfvoorraad!G:G),IFERROR(_xlfn.XLOOKUP(IF(LEFT(UPPER(K29),4)="REV-","REV-"&amp;VALUE(MID(K29,5,99)),IF(LEN(K29)=5,LEFT(K29,2)&amp;"."&amp;RIGHT(K29,3),K29)),verfvoorraad!E:E,verfvoorraad!G:G),"Niet gevonden")))</f>
        <v/>
      </c>
      <c r="Q29" t="str">
        <f t="shared" si="0"/>
        <v/>
      </c>
      <c r="R29" t="str">
        <f t="shared" si="1"/>
        <v/>
      </c>
    </row>
    <row r="30" spans="2:18" x14ac:dyDescent="0.25">
      <c r="B30" t="str">
        <v>Model Color - Fluorescent Yellow</v>
      </c>
      <c r="C30" s="7">
        <v>730</v>
      </c>
      <c r="D30" t="str">
        <v>Model Color</v>
      </c>
      <c r="E30" t="str">
        <v>70.730</v>
      </c>
      <c r="F30" t="str">
        <v>Nee</v>
      </c>
      <c r="G30" s="20">
        <v>0</v>
      </c>
      <c r="H30" s="21" t="str">
        <v>Nee</v>
      </c>
      <c r="K30" s="8"/>
      <c r="L30" t="str">
        <f>IF(K30="","",IFERROR(_xlfn.XLOOKUP(K30,verfvoorraad!C:C,verfvoorraad!B:B),IFERROR(_xlfn.XLOOKUP(IF(LEFT(UPPER(K30),4)="REV-","REV-"&amp;VALUE(MID(K30,5,99)),IF(LEN(K30)=5,LEFT(K30,2)&amp;"."&amp;RIGHT(K30,3),K30)),verfvoorraad!E:E,verfvoorraad!B:B),"Niet gevonden")))</f>
        <v/>
      </c>
      <c r="M30" t="str">
        <f>IF(K30="","",IFERROR(_xlfn.XLOOKUP(K30,verfvoorraad!C:C,verfvoorraad!D:D),IFERROR(_xlfn.XLOOKUP(IF(LEFT(UPPER(K30),4)="REV-","REV-"&amp;VALUE(MID(K30,5,99)),IF(LEN(K30)=5,LEFT(K30,2)&amp;"."&amp;RIGHT(K30,3),K30)),verfvoorraad!E:E,verfvoorraad!D:D),"Niet gevonden")))</f>
        <v/>
      </c>
      <c r="N30" t="str">
        <f>IF(K30="","",IFERROR(_xlfn.XLOOKUP(K30,verfvoorraad!C:C,verfvoorraad!E:E),IFERROR(_xlfn.XLOOKUP(IF(LEFT(UPPER(K30),4)="REV-","REV-"&amp;VALUE(MID(K30,5,99)),IF(LEN(K30)=5,LEFT(K30,2)&amp;"."&amp;RIGHT(K30,3),K30)),verfvoorraad!E:E,verfvoorraad!E:E),"Niet gevonden")))</f>
        <v/>
      </c>
      <c r="O30" t="str">
        <f>IF(K30="","",IFERROR(_xlfn.XLOOKUP(K30,verfvoorraad!C:C,verfvoorraad!F:F),IFERROR(_xlfn.XLOOKUP(IF(LEFT(UPPER(K30),4)="REV-","REV-"&amp;VALUE(MID(K30,5,99)),IF(LEN(K30)=5,LEFT(K30,2)&amp;"."&amp;RIGHT(K30,3),K30)),verfvoorraad!E:E,verfvoorraad!F:F),"Niet gevonden")))</f>
        <v/>
      </c>
      <c r="P30" t="str">
        <f>IF(K30="","",IFERROR(_xlfn.XLOOKUP(K30,verfvoorraad!C:C,verfvoorraad!G:G),IFERROR(_xlfn.XLOOKUP(IF(LEFT(UPPER(K30),4)="REV-","REV-"&amp;VALUE(MID(K30,5,99)),IF(LEN(K30)=5,LEFT(K30,2)&amp;"."&amp;RIGHT(K30,3),K30)),verfvoorraad!E:E,verfvoorraad!G:G),"Niet gevonden")))</f>
        <v/>
      </c>
      <c r="Q30" t="str">
        <f t="shared" si="0"/>
        <v/>
      </c>
      <c r="R30" t="str">
        <f t="shared" si="1"/>
        <v/>
      </c>
    </row>
    <row r="31" spans="2:18" x14ac:dyDescent="0.25">
      <c r="B31" t="str">
        <v>Model Color - German Yellow</v>
      </c>
      <c r="C31" s="7">
        <v>806</v>
      </c>
      <c r="D31" t="str">
        <v>Model Color</v>
      </c>
      <c r="E31" t="str">
        <v>70.806</v>
      </c>
      <c r="F31" t="str">
        <v>Nee</v>
      </c>
      <c r="G31" s="20">
        <v>0</v>
      </c>
      <c r="H31" s="21" t="str">
        <v>Nee</v>
      </c>
      <c r="K31" s="8"/>
      <c r="L31" t="str">
        <f>IF(K31="","",IFERROR(_xlfn.XLOOKUP(K31,verfvoorraad!C:C,verfvoorraad!B:B),IFERROR(_xlfn.XLOOKUP(IF(LEFT(UPPER(K31),4)="REV-","REV-"&amp;VALUE(MID(K31,5,99)),IF(LEN(K31)=5,LEFT(K31,2)&amp;"."&amp;RIGHT(K31,3),K31)),verfvoorraad!E:E,verfvoorraad!B:B),"Niet gevonden")))</f>
        <v/>
      </c>
      <c r="M31" t="str">
        <f>IF(K31="","",IFERROR(_xlfn.XLOOKUP(K31,verfvoorraad!C:C,verfvoorraad!D:D),IFERROR(_xlfn.XLOOKUP(IF(LEFT(UPPER(K31),4)="REV-","REV-"&amp;VALUE(MID(K31,5,99)),IF(LEN(K31)=5,LEFT(K31,2)&amp;"."&amp;RIGHT(K31,3),K31)),verfvoorraad!E:E,verfvoorraad!D:D),"Niet gevonden")))</f>
        <v/>
      </c>
      <c r="N31" t="str">
        <f>IF(K31="","",IFERROR(_xlfn.XLOOKUP(K31,verfvoorraad!C:C,verfvoorraad!E:E),IFERROR(_xlfn.XLOOKUP(IF(LEFT(UPPER(K31),4)="REV-","REV-"&amp;VALUE(MID(K31,5,99)),IF(LEN(K31)=5,LEFT(K31,2)&amp;"."&amp;RIGHT(K31,3),K31)),verfvoorraad!E:E,verfvoorraad!E:E),"Niet gevonden")))</f>
        <v/>
      </c>
      <c r="O31" t="str">
        <f>IF(K31="","",IFERROR(_xlfn.XLOOKUP(K31,verfvoorraad!C:C,verfvoorraad!F:F),IFERROR(_xlfn.XLOOKUP(IF(LEFT(UPPER(K31),4)="REV-","REV-"&amp;VALUE(MID(K31,5,99)),IF(LEN(K31)=5,LEFT(K31,2)&amp;"."&amp;RIGHT(K31,3),K31)),verfvoorraad!E:E,verfvoorraad!F:F),"Niet gevonden")))</f>
        <v/>
      </c>
      <c r="P31" t="str">
        <f>IF(K31="","",IFERROR(_xlfn.XLOOKUP(K31,verfvoorraad!C:C,verfvoorraad!G:G),IFERROR(_xlfn.XLOOKUP(IF(LEFT(UPPER(K31),4)="REV-","REV-"&amp;VALUE(MID(K31,5,99)),IF(LEN(K31)=5,LEFT(K31,2)&amp;"."&amp;RIGHT(K31,3),K31)),verfvoorraad!E:E,verfvoorraad!G:G),"Niet gevonden")))</f>
        <v/>
      </c>
      <c r="Q31" t="str">
        <f t="shared" si="0"/>
        <v/>
      </c>
      <c r="R31" t="str">
        <f t="shared" si="1"/>
        <v/>
      </c>
    </row>
    <row r="32" spans="2:18" x14ac:dyDescent="0.25">
      <c r="B32" t="str">
        <v>Model Color - Ice Yellow</v>
      </c>
      <c r="C32" s="7">
        <v>858</v>
      </c>
      <c r="D32" t="str">
        <v>Model Color</v>
      </c>
      <c r="E32" t="str">
        <v>70.858</v>
      </c>
      <c r="F32" t="str">
        <v>Nee</v>
      </c>
      <c r="G32" s="20">
        <v>0</v>
      </c>
      <c r="H32" s="21" t="str">
        <v>Nee</v>
      </c>
      <c r="K32" s="8"/>
      <c r="L32" t="str">
        <f>IF(K32="","",IFERROR(_xlfn.XLOOKUP(K32,verfvoorraad!C:C,verfvoorraad!B:B),IFERROR(_xlfn.XLOOKUP(IF(LEFT(UPPER(K32),4)="REV-","REV-"&amp;VALUE(MID(K32,5,99)),IF(LEN(K32)=5,LEFT(K32,2)&amp;"."&amp;RIGHT(K32,3),K32)),verfvoorraad!E:E,verfvoorraad!B:B),"Niet gevonden")))</f>
        <v/>
      </c>
      <c r="M32" t="str">
        <f>IF(K32="","",IFERROR(_xlfn.XLOOKUP(K32,verfvoorraad!C:C,verfvoorraad!D:D),IFERROR(_xlfn.XLOOKUP(IF(LEFT(UPPER(K32),4)="REV-","REV-"&amp;VALUE(MID(K32,5,99)),IF(LEN(K32)=5,LEFT(K32,2)&amp;"."&amp;RIGHT(K32,3),K32)),verfvoorraad!E:E,verfvoorraad!D:D),"Niet gevonden")))</f>
        <v/>
      </c>
      <c r="N32" t="str">
        <f>IF(K32="","",IFERROR(_xlfn.XLOOKUP(K32,verfvoorraad!C:C,verfvoorraad!E:E),IFERROR(_xlfn.XLOOKUP(IF(LEFT(UPPER(K32),4)="REV-","REV-"&amp;VALUE(MID(K32,5,99)),IF(LEN(K32)=5,LEFT(K32,2)&amp;"."&amp;RIGHT(K32,3),K32)),verfvoorraad!E:E,verfvoorraad!E:E),"Niet gevonden")))</f>
        <v/>
      </c>
      <c r="O32" t="str">
        <f>IF(K32="","",IFERROR(_xlfn.XLOOKUP(K32,verfvoorraad!C:C,verfvoorraad!F:F),IFERROR(_xlfn.XLOOKUP(IF(LEFT(UPPER(K32),4)="REV-","REV-"&amp;VALUE(MID(K32,5,99)),IF(LEN(K32)=5,LEFT(K32,2)&amp;"."&amp;RIGHT(K32,3),K32)),verfvoorraad!E:E,verfvoorraad!F:F),"Niet gevonden")))</f>
        <v/>
      </c>
      <c r="P32" t="str">
        <f>IF(K32="","",IFERROR(_xlfn.XLOOKUP(K32,verfvoorraad!C:C,verfvoorraad!G:G),IFERROR(_xlfn.XLOOKUP(IF(LEFT(UPPER(K32),4)="REV-","REV-"&amp;VALUE(MID(K32,5,99)),IF(LEN(K32)=5,LEFT(K32,2)&amp;"."&amp;RIGHT(K32,3),K32)),verfvoorraad!E:E,verfvoorraad!G:G),"Niet gevonden")))</f>
        <v/>
      </c>
      <c r="Q32" t="str">
        <f t="shared" si="0"/>
        <v/>
      </c>
      <c r="R32" t="str">
        <f t="shared" si="1"/>
        <v/>
      </c>
    </row>
    <row r="33" spans="2:18" x14ac:dyDescent="0.25">
      <c r="B33" t="str">
        <v>Model Color - Yellow Green</v>
      </c>
      <c r="C33" s="7">
        <v>881</v>
      </c>
      <c r="D33" t="str">
        <v>Model Color</v>
      </c>
      <c r="E33" t="str">
        <v>70.881</v>
      </c>
      <c r="F33" t="str">
        <v>Nee</v>
      </c>
      <c r="G33" s="20">
        <v>0</v>
      </c>
      <c r="H33" s="21" t="str">
        <v>Nee</v>
      </c>
      <c r="K33" s="8"/>
      <c r="L33" t="str">
        <f>IF(K33="","",IFERROR(_xlfn.XLOOKUP(K33,verfvoorraad!C:C,verfvoorraad!B:B),IFERROR(_xlfn.XLOOKUP(IF(LEFT(UPPER(K33),4)="REV-","REV-"&amp;VALUE(MID(K33,5,99)),IF(LEN(K33)=5,LEFT(K33,2)&amp;"."&amp;RIGHT(K33,3),K33)),verfvoorraad!E:E,verfvoorraad!B:B),"Niet gevonden")))</f>
        <v/>
      </c>
      <c r="M33" t="str">
        <f>IF(K33="","",IFERROR(_xlfn.XLOOKUP(K33,verfvoorraad!C:C,verfvoorraad!D:D),IFERROR(_xlfn.XLOOKUP(IF(LEFT(UPPER(K33),4)="REV-","REV-"&amp;VALUE(MID(K33,5,99)),IF(LEN(K33)=5,LEFT(K33,2)&amp;"."&amp;RIGHT(K33,3),K33)),verfvoorraad!E:E,verfvoorraad!D:D),"Niet gevonden")))</f>
        <v/>
      </c>
      <c r="N33" t="str">
        <f>IF(K33="","",IFERROR(_xlfn.XLOOKUP(K33,verfvoorraad!C:C,verfvoorraad!E:E),IFERROR(_xlfn.XLOOKUP(IF(LEFT(UPPER(K33),4)="REV-","REV-"&amp;VALUE(MID(K33,5,99)),IF(LEN(K33)=5,LEFT(K33,2)&amp;"."&amp;RIGHT(K33,3),K33)),verfvoorraad!E:E,verfvoorraad!E:E),"Niet gevonden")))</f>
        <v/>
      </c>
      <c r="O33" t="str">
        <f>IF(K33="","",IFERROR(_xlfn.XLOOKUP(K33,verfvoorraad!C:C,verfvoorraad!F:F),IFERROR(_xlfn.XLOOKUP(IF(LEFT(UPPER(K33),4)="REV-","REV-"&amp;VALUE(MID(K33,5,99)),IF(LEN(K33)=5,LEFT(K33,2)&amp;"."&amp;RIGHT(K33,3),K33)),verfvoorraad!E:E,verfvoorraad!F:F),"Niet gevonden")))</f>
        <v/>
      </c>
      <c r="P33" t="str">
        <f>IF(K33="","",IFERROR(_xlfn.XLOOKUP(K33,verfvoorraad!C:C,verfvoorraad!G:G),IFERROR(_xlfn.XLOOKUP(IF(LEFT(UPPER(K33),4)="REV-","REV-"&amp;VALUE(MID(K33,5,99)),IF(LEN(K33)=5,LEFT(K33,2)&amp;"."&amp;RIGHT(K33,3),K33)),verfvoorraad!E:E,verfvoorraad!G:G),"Niet gevonden")))</f>
        <v/>
      </c>
      <c r="Q33" t="str">
        <f t="shared" si="0"/>
        <v/>
      </c>
      <c r="R33" t="str">
        <f t="shared" si="1"/>
        <v/>
      </c>
    </row>
    <row r="34" spans="2:18" x14ac:dyDescent="0.25">
      <c r="B34" t="str">
        <v>Model Color - Yellow Olive</v>
      </c>
      <c r="C34" s="7">
        <v>892</v>
      </c>
      <c r="D34" t="str">
        <v>Model Color</v>
      </c>
      <c r="E34" t="str">
        <v>70.892</v>
      </c>
      <c r="F34" t="str">
        <v>Nee</v>
      </c>
      <c r="G34" s="20">
        <v>0</v>
      </c>
      <c r="H34" s="21" t="str">
        <v>Nee</v>
      </c>
      <c r="K34" s="23"/>
      <c r="L34" t="str">
        <f>IF(K34="","",IFERROR(_xlfn.XLOOKUP(K34,verfvoorraad!C:C,verfvoorraad!B:B),IFERROR(_xlfn.XLOOKUP(IF(LEFT(UPPER(K34),4)="REV-","REV-"&amp;VALUE(MID(K34,5,99)),IF(LEN(K34)=5,LEFT(K34,2)&amp;"."&amp;RIGHT(K34,3),K34)),verfvoorraad!E:E,verfvoorraad!B:B),"Niet gevonden")))</f>
        <v/>
      </c>
      <c r="M34" t="str">
        <f>IF(K34="","",IFERROR(_xlfn.XLOOKUP(K34,verfvoorraad!C:C,verfvoorraad!D:D),IFERROR(_xlfn.XLOOKUP(IF(LEFT(UPPER(K34),4)="REV-","REV-"&amp;VALUE(MID(K34,5,99)),IF(LEN(K34)=5,LEFT(K34,2)&amp;"."&amp;RIGHT(K34,3),K34)),verfvoorraad!E:E,verfvoorraad!D:D),"Niet gevonden")))</f>
        <v/>
      </c>
      <c r="N34" t="str">
        <f>IF(K34="","",IFERROR(_xlfn.XLOOKUP(K34,verfvoorraad!C:C,verfvoorraad!E:E),IFERROR(_xlfn.XLOOKUP(IF(LEFT(UPPER(K34),4)="REV-","REV-"&amp;VALUE(MID(K34,5,99)),IF(LEN(K34)=5,LEFT(K34,2)&amp;"."&amp;RIGHT(K34,3),K34)),verfvoorraad!E:E,verfvoorraad!E:E),"Niet gevonden")))</f>
        <v/>
      </c>
      <c r="O34" t="str">
        <f>IF(K34="","",IFERROR(_xlfn.XLOOKUP(K34,verfvoorraad!C:C,verfvoorraad!F:F),IFERROR(_xlfn.XLOOKUP(IF(LEFT(UPPER(K34),4)="REV-","REV-"&amp;VALUE(MID(K34,5,99)),IF(LEN(K34)=5,LEFT(K34,2)&amp;"."&amp;RIGHT(K34,3),K34)),verfvoorraad!E:E,verfvoorraad!F:F),"Niet gevonden")))</f>
        <v/>
      </c>
      <c r="P34" t="str">
        <f>IF(K34="","",IFERROR(_xlfn.XLOOKUP(K34,verfvoorraad!C:C,verfvoorraad!G:G),IFERROR(_xlfn.XLOOKUP(IF(LEFT(UPPER(K34),4)="REV-","REV-"&amp;VALUE(MID(K34,5,99)),IF(LEN(K34)=5,LEFT(K34,2)&amp;"."&amp;RIGHT(K34,3),K34)),verfvoorraad!E:E,verfvoorraad!G:G),"Niet gevonden")))</f>
        <v/>
      </c>
      <c r="Q34" t="str">
        <f t="shared" si="0"/>
        <v/>
      </c>
      <c r="R34" t="str">
        <f t="shared" si="1"/>
        <v/>
      </c>
    </row>
    <row r="35" spans="2:18" x14ac:dyDescent="0.25">
      <c r="B35" t="str">
        <v>Model Color - Tan Yellow</v>
      </c>
      <c r="C35" s="7">
        <v>912</v>
      </c>
      <c r="D35" t="str">
        <v>Model Color</v>
      </c>
      <c r="E35" t="str">
        <v>70.912</v>
      </c>
      <c r="F35" t="str">
        <v>Nee</v>
      </c>
      <c r="G35" s="20">
        <v>0</v>
      </c>
      <c r="H35" s="21" t="str">
        <v>Nee</v>
      </c>
      <c r="K35" s="23"/>
      <c r="L35" t="str">
        <f>IF(K35="","",IFERROR(_xlfn.XLOOKUP(K35,verfvoorraad!C:C,verfvoorraad!B:B),IFERROR(_xlfn.XLOOKUP(IF(LEFT(UPPER(K35),4)="REV-","REV-"&amp;VALUE(MID(K35,5,99)),IF(LEN(K35)=5,LEFT(K35,2)&amp;"."&amp;RIGHT(K35,3),K35)),verfvoorraad!E:E,verfvoorraad!B:B),"Niet gevonden")))</f>
        <v/>
      </c>
      <c r="M35" t="str">
        <f>IF(K35="","",IFERROR(_xlfn.XLOOKUP(K35,verfvoorraad!C:C,verfvoorraad!D:D),IFERROR(_xlfn.XLOOKUP(IF(LEFT(UPPER(K35),4)="REV-","REV-"&amp;VALUE(MID(K35,5,99)),IF(LEN(K35)=5,LEFT(K35,2)&amp;"."&amp;RIGHT(K35,3),K35)),verfvoorraad!E:E,verfvoorraad!D:D),"Niet gevonden")))</f>
        <v/>
      </c>
      <c r="N35" t="str">
        <f>IF(K35="","",IFERROR(_xlfn.XLOOKUP(K35,verfvoorraad!C:C,verfvoorraad!E:E),IFERROR(_xlfn.XLOOKUP(IF(LEFT(UPPER(K35),4)="REV-","REV-"&amp;VALUE(MID(K35,5,99)),IF(LEN(K35)=5,LEFT(K35,2)&amp;"."&amp;RIGHT(K35,3),K35)),verfvoorraad!E:E,verfvoorraad!E:E),"Niet gevonden")))</f>
        <v/>
      </c>
      <c r="O35" t="str">
        <f>IF(K35="","",IFERROR(_xlfn.XLOOKUP(K35,verfvoorraad!C:C,verfvoorraad!F:F),IFERROR(_xlfn.XLOOKUP(IF(LEFT(UPPER(K35),4)="REV-","REV-"&amp;VALUE(MID(K35,5,99)),IF(LEN(K35)=5,LEFT(K35,2)&amp;"."&amp;RIGHT(K35,3),K35)),verfvoorraad!E:E,verfvoorraad!F:F),"Niet gevonden")))</f>
        <v/>
      </c>
      <c r="P35" t="str">
        <f>IF(K35="","",IFERROR(_xlfn.XLOOKUP(K35,verfvoorraad!C:C,verfvoorraad!G:G),IFERROR(_xlfn.XLOOKUP(IF(LEFT(UPPER(K35),4)="REV-","REV-"&amp;VALUE(MID(K35,5,99)),IF(LEN(K35)=5,LEFT(K35,2)&amp;"."&amp;RIGHT(K35,3),K35)),verfvoorraad!E:E,verfvoorraad!G:G),"Niet gevonden")))</f>
        <v/>
      </c>
      <c r="Q35" t="str">
        <f t="shared" si="0"/>
        <v/>
      </c>
      <c r="R35" t="str">
        <f t="shared" si="1"/>
        <v/>
      </c>
    </row>
    <row r="36" spans="2:18" x14ac:dyDescent="0.25">
      <c r="B36" t="str">
        <v>Model Color - Yellow Ochre</v>
      </c>
      <c r="C36" s="7">
        <v>913</v>
      </c>
      <c r="D36" t="str">
        <v>Model Color</v>
      </c>
      <c r="E36" t="str">
        <v>70.913</v>
      </c>
      <c r="F36" t="str">
        <v>Nee</v>
      </c>
      <c r="G36" s="20">
        <v>0</v>
      </c>
      <c r="H36" s="21" t="str">
        <v>Nee</v>
      </c>
      <c r="K36" s="23"/>
      <c r="L36" t="str">
        <f>IF(K36="","",IFERROR(_xlfn.XLOOKUP(K36,verfvoorraad!C:C,verfvoorraad!B:B),IFERROR(_xlfn.XLOOKUP(IF(LEFT(UPPER(K36),4)="REV-","REV-"&amp;VALUE(MID(K36,5,99)),IF(LEN(K36)=5,LEFT(K36,2)&amp;"."&amp;RIGHT(K36,3),K36)),verfvoorraad!E:E,verfvoorraad!B:B),"Niet gevonden")))</f>
        <v/>
      </c>
      <c r="M36" t="str">
        <f>IF(K36="","",IFERROR(_xlfn.XLOOKUP(K36,verfvoorraad!C:C,verfvoorraad!D:D),IFERROR(_xlfn.XLOOKUP(IF(LEFT(UPPER(K36),4)="REV-","REV-"&amp;VALUE(MID(K36,5,99)),IF(LEN(K36)=5,LEFT(K36,2)&amp;"."&amp;RIGHT(K36,3),K36)),verfvoorraad!E:E,verfvoorraad!D:D),"Niet gevonden")))</f>
        <v/>
      </c>
      <c r="N36" t="str">
        <f>IF(K36="","",IFERROR(_xlfn.XLOOKUP(K36,verfvoorraad!C:C,verfvoorraad!E:E),IFERROR(_xlfn.XLOOKUP(IF(LEFT(UPPER(K36),4)="REV-","REV-"&amp;VALUE(MID(K36,5,99)),IF(LEN(K36)=5,LEFT(K36,2)&amp;"."&amp;RIGHT(K36,3),K36)),verfvoorraad!E:E,verfvoorraad!E:E),"Niet gevonden")))</f>
        <v/>
      </c>
      <c r="O36" t="str">
        <f>IF(K36="","",IFERROR(_xlfn.XLOOKUP(K36,verfvoorraad!C:C,verfvoorraad!F:F),IFERROR(_xlfn.XLOOKUP(IF(LEFT(UPPER(K36),4)="REV-","REV-"&amp;VALUE(MID(K36,5,99)),IF(LEN(K36)=5,LEFT(K36,2)&amp;"."&amp;RIGHT(K36,3),K36)),verfvoorraad!E:E,verfvoorraad!F:F),"Niet gevonden")))</f>
        <v/>
      </c>
      <c r="P36" t="str">
        <f>IF(K36="","",IFERROR(_xlfn.XLOOKUP(K36,verfvoorraad!C:C,verfvoorraad!G:G),IFERROR(_xlfn.XLOOKUP(IF(LEFT(UPPER(K36),4)="REV-","REV-"&amp;VALUE(MID(K36,5,99)),IF(LEN(K36)=5,LEFT(K36,2)&amp;"."&amp;RIGHT(K36,3),K36)),verfvoorraad!E:E,verfvoorraad!G:G),"Niet gevonden")))</f>
        <v/>
      </c>
      <c r="Q36" t="str">
        <f t="shared" si="0"/>
        <v/>
      </c>
      <c r="R36" t="str">
        <f t="shared" si="1"/>
        <v/>
      </c>
    </row>
    <row r="37" spans="2:18" x14ac:dyDescent="0.25">
      <c r="B37" t="str">
        <v>Model Color - Deep Yellow</v>
      </c>
      <c r="C37" s="7">
        <v>915</v>
      </c>
      <c r="D37" t="str">
        <v>Model Color</v>
      </c>
      <c r="E37" t="str">
        <v>70.915</v>
      </c>
      <c r="F37" t="str">
        <v>Nee</v>
      </c>
      <c r="G37" s="20">
        <v>0</v>
      </c>
      <c r="H37" s="21" t="str">
        <v>Nee</v>
      </c>
      <c r="K37" s="23"/>
      <c r="L37" t="str">
        <f>IF(K37="","",IFERROR(_xlfn.XLOOKUP(K37,verfvoorraad!C:C,verfvoorraad!B:B),IFERROR(_xlfn.XLOOKUP(IF(LEFT(UPPER(K37),4)="REV-","REV-"&amp;VALUE(MID(K37,5,99)),IF(LEN(K37)=5,LEFT(K37,2)&amp;"."&amp;RIGHT(K37,3),K37)),verfvoorraad!E:E,verfvoorraad!B:B),"Niet gevonden")))</f>
        <v/>
      </c>
      <c r="M37" t="str">
        <f>IF(K37="","",IFERROR(_xlfn.XLOOKUP(K37,verfvoorraad!C:C,verfvoorraad!D:D),IFERROR(_xlfn.XLOOKUP(IF(LEFT(UPPER(K37),4)="REV-","REV-"&amp;VALUE(MID(K37,5,99)),IF(LEN(K37)=5,LEFT(K37,2)&amp;"."&amp;RIGHT(K37,3),K37)),verfvoorraad!E:E,verfvoorraad!D:D),"Niet gevonden")))</f>
        <v/>
      </c>
      <c r="N37" t="str">
        <f>IF(K37="","",IFERROR(_xlfn.XLOOKUP(K37,verfvoorraad!C:C,verfvoorraad!E:E),IFERROR(_xlfn.XLOOKUP(IF(LEFT(UPPER(K37),4)="REV-","REV-"&amp;VALUE(MID(K37,5,99)),IF(LEN(K37)=5,LEFT(K37,2)&amp;"."&amp;RIGHT(K37,3),K37)),verfvoorraad!E:E,verfvoorraad!E:E),"Niet gevonden")))</f>
        <v/>
      </c>
      <c r="O37" t="str">
        <f>IF(K37="","",IFERROR(_xlfn.XLOOKUP(K37,verfvoorraad!C:C,verfvoorraad!F:F),IFERROR(_xlfn.XLOOKUP(IF(LEFT(UPPER(K37),4)="REV-","REV-"&amp;VALUE(MID(K37,5,99)),IF(LEN(K37)=5,LEFT(K37,2)&amp;"."&amp;RIGHT(K37,3),K37)),verfvoorraad!E:E,verfvoorraad!F:F),"Niet gevonden")))</f>
        <v/>
      </c>
      <c r="P37" t="str">
        <f>IF(K37="","",IFERROR(_xlfn.XLOOKUP(K37,verfvoorraad!C:C,verfvoorraad!G:G),IFERROR(_xlfn.XLOOKUP(IF(LEFT(UPPER(K37),4)="REV-","REV-"&amp;VALUE(MID(K37,5,99)),IF(LEN(K37)=5,LEFT(K37,2)&amp;"."&amp;RIGHT(K37,3),K37)),verfvoorraad!E:E,verfvoorraad!G:G),"Niet gevonden")))</f>
        <v/>
      </c>
      <c r="Q37" t="str">
        <f t="shared" si="0"/>
        <v/>
      </c>
      <c r="R37" t="str">
        <f t="shared" si="1"/>
        <v/>
      </c>
    </row>
    <row r="38" spans="2:18" x14ac:dyDescent="0.25">
      <c r="B38" t="str">
        <v>Model Color - Sand Yellow</v>
      </c>
      <c r="C38" s="7">
        <v>916</v>
      </c>
      <c r="D38" t="str">
        <v>Model Color</v>
      </c>
      <c r="E38" t="str">
        <v>70.916</v>
      </c>
      <c r="F38" t="str">
        <v>Nee</v>
      </c>
      <c r="G38" s="20">
        <v>0</v>
      </c>
      <c r="H38" s="21" t="str">
        <v>Nee</v>
      </c>
      <c r="K38" s="23"/>
      <c r="L38" t="str">
        <f>IF(K38="","",IFERROR(_xlfn.XLOOKUP(K38,verfvoorraad!C:C,verfvoorraad!B:B),IFERROR(_xlfn.XLOOKUP(IF(LEFT(UPPER(K38),4)="REV-","REV-"&amp;VALUE(MID(K38,5,99)),IF(LEN(K38)=5,LEFT(K38,2)&amp;"."&amp;RIGHT(K38,3),K38)),verfvoorraad!E:E,verfvoorraad!B:B),"Niet gevonden")))</f>
        <v/>
      </c>
      <c r="M38" t="str">
        <f>IF(K38="","",IFERROR(_xlfn.XLOOKUP(K38,verfvoorraad!C:C,verfvoorraad!D:D),IFERROR(_xlfn.XLOOKUP(IF(LEFT(UPPER(K38),4)="REV-","REV-"&amp;VALUE(MID(K38,5,99)),IF(LEN(K38)=5,LEFT(K38,2)&amp;"."&amp;RIGHT(K38,3),K38)),verfvoorraad!E:E,verfvoorraad!D:D),"Niet gevonden")))</f>
        <v/>
      </c>
      <c r="N38" t="str">
        <f>IF(K38="","",IFERROR(_xlfn.XLOOKUP(K38,verfvoorraad!C:C,verfvoorraad!E:E),IFERROR(_xlfn.XLOOKUP(IF(LEFT(UPPER(K38),4)="REV-","REV-"&amp;VALUE(MID(K38,5,99)),IF(LEN(K38)=5,LEFT(K38,2)&amp;"."&amp;RIGHT(K38,3),K38)),verfvoorraad!E:E,verfvoorraad!E:E),"Niet gevonden")))</f>
        <v/>
      </c>
      <c r="O38" t="str">
        <f>IF(K38="","",IFERROR(_xlfn.XLOOKUP(K38,verfvoorraad!C:C,verfvoorraad!F:F),IFERROR(_xlfn.XLOOKUP(IF(LEFT(UPPER(K38),4)="REV-","REV-"&amp;VALUE(MID(K38,5,99)),IF(LEN(K38)=5,LEFT(K38,2)&amp;"."&amp;RIGHT(K38,3),K38)),verfvoorraad!E:E,verfvoorraad!F:F),"Niet gevonden")))</f>
        <v/>
      </c>
      <c r="P38" t="str">
        <f>IF(K38="","",IFERROR(_xlfn.XLOOKUP(K38,verfvoorraad!C:C,verfvoorraad!G:G),IFERROR(_xlfn.XLOOKUP(IF(LEFT(UPPER(K38),4)="REV-","REV-"&amp;VALUE(MID(K38,5,99)),IF(LEN(K38)=5,LEFT(K38,2)&amp;"."&amp;RIGHT(K38,3),K38)),verfvoorraad!E:E,verfvoorraad!G:G),"Niet gevonden")))</f>
        <v/>
      </c>
      <c r="Q38" t="str">
        <f t="shared" si="0"/>
        <v/>
      </c>
      <c r="R38" t="str">
        <f t="shared" si="1"/>
        <v/>
      </c>
    </row>
    <row r="39" spans="2:18" x14ac:dyDescent="0.25">
      <c r="B39" t="str">
        <v>Model Color - Transparent Yellow</v>
      </c>
      <c r="C39" s="7">
        <v>937</v>
      </c>
      <c r="D39" t="str">
        <v>Model Color</v>
      </c>
      <c r="E39" t="str">
        <v>70.937</v>
      </c>
      <c r="F39" t="str">
        <v>Nee</v>
      </c>
      <c r="G39" s="20">
        <v>0</v>
      </c>
      <c r="H39" s="21" t="str">
        <v>Nee</v>
      </c>
      <c r="K39" s="23"/>
      <c r="L39" t="str">
        <f>IF(K39="","",IFERROR(_xlfn.XLOOKUP(K39,verfvoorraad!C:C,verfvoorraad!B:B),IFERROR(_xlfn.XLOOKUP(IF(LEFT(UPPER(K39),4)="REV-","REV-"&amp;VALUE(MID(K39,5,99)),IF(LEN(K39)=5,LEFT(K39,2)&amp;"."&amp;RIGHT(K39,3),K39)),verfvoorraad!E:E,verfvoorraad!B:B),"Niet gevonden")))</f>
        <v/>
      </c>
      <c r="M39" t="str">
        <f>IF(K39="","",IFERROR(_xlfn.XLOOKUP(K39,verfvoorraad!C:C,verfvoorraad!D:D),IFERROR(_xlfn.XLOOKUP(IF(LEFT(UPPER(K39),4)="REV-","REV-"&amp;VALUE(MID(K39,5,99)),IF(LEN(K39)=5,LEFT(K39,2)&amp;"."&amp;RIGHT(K39,3),K39)),verfvoorraad!E:E,verfvoorraad!D:D),"Niet gevonden")))</f>
        <v/>
      </c>
      <c r="N39" t="str">
        <f>IF(K39="","",IFERROR(_xlfn.XLOOKUP(K39,verfvoorraad!C:C,verfvoorraad!E:E),IFERROR(_xlfn.XLOOKUP(IF(LEFT(UPPER(K39),4)="REV-","REV-"&amp;VALUE(MID(K39,5,99)),IF(LEN(K39)=5,LEFT(K39,2)&amp;"."&amp;RIGHT(K39,3),K39)),verfvoorraad!E:E,verfvoorraad!E:E),"Niet gevonden")))</f>
        <v/>
      </c>
      <c r="O39" t="str">
        <f>IF(K39="","",IFERROR(_xlfn.XLOOKUP(K39,verfvoorraad!C:C,verfvoorraad!F:F),IFERROR(_xlfn.XLOOKUP(IF(LEFT(UPPER(K39),4)="REV-","REV-"&amp;VALUE(MID(K39,5,99)),IF(LEN(K39)=5,LEFT(K39,2)&amp;"."&amp;RIGHT(K39,3),K39)),verfvoorraad!E:E,verfvoorraad!F:F),"Niet gevonden")))</f>
        <v/>
      </c>
      <c r="P39" t="str">
        <f>IF(K39="","",IFERROR(_xlfn.XLOOKUP(K39,verfvoorraad!C:C,verfvoorraad!G:G),IFERROR(_xlfn.XLOOKUP(IF(LEFT(UPPER(K39),4)="REV-","REV-"&amp;VALUE(MID(K39,5,99)),IF(LEN(K39)=5,LEFT(K39,2)&amp;"."&amp;RIGHT(K39,3),K39)),verfvoorraad!E:E,verfvoorraad!G:G),"Niet gevonden")))</f>
        <v/>
      </c>
      <c r="Q39" t="str">
        <f t="shared" si="0"/>
        <v/>
      </c>
      <c r="R39" t="str">
        <f t="shared" si="1"/>
        <v/>
      </c>
    </row>
    <row r="40" spans="2:18" x14ac:dyDescent="0.25">
      <c r="B40" t="str">
        <v>Model Color - Golden Yellow</v>
      </c>
      <c r="C40" s="7">
        <v>948</v>
      </c>
      <c r="D40" t="str">
        <v>Model Color</v>
      </c>
      <c r="E40" t="str">
        <v>70.948</v>
      </c>
      <c r="F40" t="str">
        <v>Nee</v>
      </c>
      <c r="G40" s="20">
        <v>0</v>
      </c>
      <c r="H40" s="21" t="str">
        <v>Nee</v>
      </c>
      <c r="K40" s="23"/>
      <c r="L40" t="str">
        <f>IF(K40="","",IFERROR(_xlfn.XLOOKUP(K40,verfvoorraad!C:C,verfvoorraad!B:B),IFERROR(_xlfn.XLOOKUP(IF(LEFT(UPPER(K40),4)="REV-","REV-"&amp;VALUE(MID(K40,5,99)),IF(LEN(K40)=5,LEFT(K40,2)&amp;"."&amp;RIGHT(K40,3),K40)),verfvoorraad!E:E,verfvoorraad!B:B),"Niet gevonden")))</f>
        <v/>
      </c>
      <c r="M40" t="str">
        <f>IF(K40="","",IFERROR(_xlfn.XLOOKUP(K40,verfvoorraad!C:C,verfvoorraad!D:D),IFERROR(_xlfn.XLOOKUP(IF(LEFT(UPPER(K40),4)="REV-","REV-"&amp;VALUE(MID(K40,5,99)),IF(LEN(K40)=5,LEFT(K40,2)&amp;"."&amp;RIGHT(K40,3),K40)),verfvoorraad!E:E,verfvoorraad!D:D),"Niet gevonden")))</f>
        <v/>
      </c>
      <c r="N40" t="str">
        <f>IF(K40="","",IFERROR(_xlfn.XLOOKUP(K40,verfvoorraad!C:C,verfvoorraad!E:E),IFERROR(_xlfn.XLOOKUP(IF(LEFT(UPPER(K40),4)="REV-","REV-"&amp;VALUE(MID(K40,5,99)),IF(LEN(K40)=5,LEFT(K40,2)&amp;"."&amp;RIGHT(K40,3),K40)),verfvoorraad!E:E,verfvoorraad!E:E),"Niet gevonden")))</f>
        <v/>
      </c>
      <c r="O40" t="str">
        <f>IF(K40="","",IFERROR(_xlfn.XLOOKUP(K40,verfvoorraad!C:C,verfvoorraad!F:F),IFERROR(_xlfn.XLOOKUP(IF(LEFT(UPPER(K40),4)="REV-","REV-"&amp;VALUE(MID(K40,5,99)),IF(LEN(K40)=5,LEFT(K40,2)&amp;"."&amp;RIGHT(K40,3),K40)),verfvoorraad!E:E,verfvoorraad!F:F),"Niet gevonden")))</f>
        <v/>
      </c>
      <c r="P40" t="str">
        <f>IF(K40="","",IFERROR(_xlfn.XLOOKUP(K40,verfvoorraad!C:C,verfvoorraad!G:G),IFERROR(_xlfn.XLOOKUP(IF(LEFT(UPPER(K40),4)="REV-","REV-"&amp;VALUE(MID(K40,5,99)),IF(LEN(K40)=5,LEFT(K40,2)&amp;"."&amp;RIGHT(K40,3),K40)),verfvoorraad!E:E,verfvoorraad!G:G),"Niet gevonden")))</f>
        <v/>
      </c>
      <c r="Q40" t="str">
        <f t="shared" si="0"/>
        <v/>
      </c>
      <c r="R40" t="str">
        <f t="shared" si="1"/>
        <v/>
      </c>
    </row>
    <row r="41" spans="2:18" x14ac:dyDescent="0.25">
      <c r="B41" t="str">
        <v>Model Color - Light Yellow</v>
      </c>
      <c r="C41" s="7">
        <v>949</v>
      </c>
      <c r="D41" t="str">
        <v>Model Color</v>
      </c>
      <c r="E41" t="str">
        <v>70.949</v>
      </c>
      <c r="F41" t="str">
        <v>Nee</v>
      </c>
      <c r="G41" s="20">
        <v>0</v>
      </c>
      <c r="H41" s="21" t="str">
        <v>Nee</v>
      </c>
      <c r="K41" s="23"/>
      <c r="L41" t="str">
        <f>IF(K41="","",IFERROR(_xlfn.XLOOKUP(K41,verfvoorraad!C:C,verfvoorraad!B:B),IFERROR(_xlfn.XLOOKUP(IF(LEFT(UPPER(K41),4)="REV-","REV-"&amp;VALUE(MID(K41,5,99)),IF(LEN(K41)=5,LEFT(K41,2)&amp;"."&amp;RIGHT(K41,3),K41)),verfvoorraad!E:E,verfvoorraad!B:B),"Niet gevonden")))</f>
        <v/>
      </c>
      <c r="M41" t="str">
        <f>IF(K41="","",IFERROR(_xlfn.XLOOKUP(K41,verfvoorraad!C:C,verfvoorraad!D:D),IFERROR(_xlfn.XLOOKUP(IF(LEFT(UPPER(K41),4)="REV-","REV-"&amp;VALUE(MID(K41,5,99)),IF(LEN(K41)=5,LEFT(K41,2)&amp;"."&amp;RIGHT(K41,3),K41)),verfvoorraad!E:E,verfvoorraad!D:D),"Niet gevonden")))</f>
        <v/>
      </c>
      <c r="N41" t="str">
        <f>IF(K41="","",IFERROR(_xlfn.XLOOKUP(K41,verfvoorraad!C:C,verfvoorraad!E:E),IFERROR(_xlfn.XLOOKUP(IF(LEFT(UPPER(K41),4)="REV-","REV-"&amp;VALUE(MID(K41,5,99)),IF(LEN(K41)=5,LEFT(K41,2)&amp;"."&amp;RIGHT(K41,3),K41)),verfvoorraad!E:E,verfvoorraad!E:E),"Niet gevonden")))</f>
        <v/>
      </c>
      <c r="O41" t="str">
        <f>IF(K41="","",IFERROR(_xlfn.XLOOKUP(K41,verfvoorraad!C:C,verfvoorraad!F:F),IFERROR(_xlfn.XLOOKUP(IF(LEFT(UPPER(K41),4)="REV-","REV-"&amp;VALUE(MID(K41,5,99)),IF(LEN(K41)=5,LEFT(K41,2)&amp;"."&amp;RIGHT(K41,3),K41)),verfvoorraad!E:E,verfvoorraad!F:F),"Niet gevonden")))</f>
        <v/>
      </c>
      <c r="P41" t="str">
        <f>IF(K41="","",IFERROR(_xlfn.XLOOKUP(K41,verfvoorraad!C:C,verfvoorraad!G:G),IFERROR(_xlfn.XLOOKUP(IF(LEFT(UPPER(K41),4)="REV-","REV-"&amp;VALUE(MID(K41,5,99)),IF(LEN(K41)=5,LEFT(K41,2)&amp;"."&amp;RIGHT(K41,3),K41)),verfvoorraad!E:E,verfvoorraad!G:G),"Niet gevonden")))</f>
        <v/>
      </c>
      <c r="Q41" t="str">
        <f t="shared" si="0"/>
        <v/>
      </c>
      <c r="R41" t="str">
        <f t="shared" si="1"/>
        <v/>
      </c>
    </row>
    <row r="42" spans="2:18" x14ac:dyDescent="0.25">
      <c r="B42" t="str">
        <v>Model Color - Lemon Yellow</v>
      </c>
      <c r="C42" s="7">
        <v>952</v>
      </c>
      <c r="D42" t="str">
        <v>Model Color</v>
      </c>
      <c r="E42" t="str">
        <v>70.952</v>
      </c>
      <c r="F42" t="str">
        <v>Nee</v>
      </c>
      <c r="G42" s="20">
        <v>0</v>
      </c>
      <c r="H42" s="21" t="str">
        <v>Nee</v>
      </c>
      <c r="K42" s="23"/>
      <c r="L42" t="str">
        <f>IF(K42="","",IFERROR(_xlfn.XLOOKUP(K42,verfvoorraad!C:C,verfvoorraad!B:B),IFERROR(_xlfn.XLOOKUP(IF(LEFT(UPPER(K42),4)="REV-","REV-"&amp;VALUE(MID(K42,5,99)),IF(LEN(K42)=5,LEFT(K42,2)&amp;"."&amp;RIGHT(K42,3),K42)),verfvoorraad!E:E,verfvoorraad!B:B),"Niet gevonden")))</f>
        <v/>
      </c>
      <c r="M42" t="str">
        <f>IF(K42="","",IFERROR(_xlfn.XLOOKUP(K42,verfvoorraad!C:C,verfvoorraad!D:D),IFERROR(_xlfn.XLOOKUP(IF(LEFT(UPPER(K42),4)="REV-","REV-"&amp;VALUE(MID(K42,5,99)),IF(LEN(K42)=5,LEFT(K42,2)&amp;"."&amp;RIGHT(K42,3),K42)),verfvoorraad!E:E,verfvoorraad!D:D),"Niet gevonden")))</f>
        <v/>
      </c>
      <c r="N42" t="str">
        <f>IF(K42="","",IFERROR(_xlfn.XLOOKUP(K42,verfvoorraad!C:C,verfvoorraad!E:E),IFERROR(_xlfn.XLOOKUP(IF(LEFT(UPPER(K42),4)="REV-","REV-"&amp;VALUE(MID(K42,5,99)),IF(LEN(K42)=5,LEFT(K42,2)&amp;"."&amp;RIGHT(K42,3),K42)),verfvoorraad!E:E,verfvoorraad!E:E),"Niet gevonden")))</f>
        <v/>
      </c>
      <c r="O42" t="str">
        <f>IF(K42="","",IFERROR(_xlfn.XLOOKUP(K42,verfvoorraad!C:C,verfvoorraad!F:F),IFERROR(_xlfn.XLOOKUP(IF(LEFT(UPPER(K42),4)="REV-","REV-"&amp;VALUE(MID(K42,5,99)),IF(LEN(K42)=5,LEFT(K42,2)&amp;"."&amp;RIGHT(K42,3),K42)),verfvoorraad!E:E,verfvoorraad!F:F),"Niet gevonden")))</f>
        <v/>
      </c>
      <c r="P42" t="str">
        <f>IF(K42="","",IFERROR(_xlfn.XLOOKUP(K42,verfvoorraad!C:C,verfvoorraad!G:G),IFERROR(_xlfn.XLOOKUP(IF(LEFT(UPPER(K42),4)="REV-","REV-"&amp;VALUE(MID(K42,5,99)),IF(LEN(K42)=5,LEFT(K42,2)&amp;"."&amp;RIGHT(K42,3),K42)),verfvoorraad!E:E,verfvoorraad!G:G),"Niet gevonden")))</f>
        <v/>
      </c>
      <c r="Q42" t="str">
        <f t="shared" si="0"/>
        <v/>
      </c>
      <c r="R42" t="str">
        <f t="shared" si="1"/>
        <v/>
      </c>
    </row>
    <row r="43" spans="2:18" x14ac:dyDescent="0.25">
      <c r="B43" t="str">
        <v>Model Color - Flat Yellow</v>
      </c>
      <c r="C43" s="7">
        <v>953</v>
      </c>
      <c r="D43" t="str">
        <v>Model Color</v>
      </c>
      <c r="E43" t="str">
        <v>70.953</v>
      </c>
      <c r="F43" t="str">
        <v>Nee</v>
      </c>
      <c r="G43" s="20">
        <v>0</v>
      </c>
      <c r="H43" s="21" t="str">
        <v>Nee</v>
      </c>
      <c r="K43" s="23"/>
      <c r="L43" t="str">
        <f>IF(K43="","",IFERROR(_xlfn.XLOOKUP(K43,verfvoorraad!C:C,verfvoorraad!B:B),IFERROR(_xlfn.XLOOKUP(IF(LEFT(UPPER(K43),4)="REV-","REV-"&amp;VALUE(MID(K43,5,99)),IF(LEN(K43)=5,LEFT(K43,2)&amp;"."&amp;RIGHT(K43,3),K43)),verfvoorraad!E:E,verfvoorraad!B:B),"Niet gevonden")))</f>
        <v/>
      </c>
      <c r="M43" t="str">
        <f>IF(K43="","",IFERROR(_xlfn.XLOOKUP(K43,verfvoorraad!C:C,verfvoorraad!D:D),IFERROR(_xlfn.XLOOKUP(IF(LEFT(UPPER(K43),4)="REV-","REV-"&amp;VALUE(MID(K43,5,99)),IF(LEN(K43)=5,LEFT(K43,2)&amp;"."&amp;RIGHT(K43,3),K43)),verfvoorraad!E:E,verfvoorraad!D:D),"Niet gevonden")))</f>
        <v/>
      </c>
      <c r="N43" t="str">
        <f>IF(K43="","",IFERROR(_xlfn.XLOOKUP(K43,verfvoorraad!C:C,verfvoorraad!E:E),IFERROR(_xlfn.XLOOKUP(IF(LEFT(UPPER(K43),4)="REV-","REV-"&amp;VALUE(MID(K43,5,99)),IF(LEN(K43)=5,LEFT(K43,2)&amp;"."&amp;RIGHT(K43,3),K43)),verfvoorraad!E:E,verfvoorraad!E:E),"Niet gevonden")))</f>
        <v/>
      </c>
      <c r="O43" t="str">
        <f>IF(K43="","",IFERROR(_xlfn.XLOOKUP(K43,verfvoorraad!C:C,verfvoorraad!F:F),IFERROR(_xlfn.XLOOKUP(IF(LEFT(UPPER(K43),4)="REV-","REV-"&amp;VALUE(MID(K43,5,99)),IF(LEN(K43)=5,LEFT(K43,2)&amp;"."&amp;RIGHT(K43,3),K43)),verfvoorraad!E:E,verfvoorraad!F:F),"Niet gevonden")))</f>
        <v/>
      </c>
      <c r="P43" t="str">
        <f>IF(K43="","",IFERROR(_xlfn.XLOOKUP(K43,verfvoorraad!C:C,verfvoorraad!G:G),IFERROR(_xlfn.XLOOKUP(IF(LEFT(UPPER(K43),4)="REV-","REV-"&amp;VALUE(MID(K43,5,99)),IF(LEN(K43)=5,LEFT(K43,2)&amp;"."&amp;RIGHT(K43,3),K43)),verfvoorraad!E:E,verfvoorraad!G:G),"Niet gevonden")))</f>
        <v/>
      </c>
      <c r="Q43" t="str">
        <f t="shared" si="0"/>
        <v/>
      </c>
      <c r="R43" t="str">
        <f t="shared" si="1"/>
        <v/>
      </c>
    </row>
    <row r="44" spans="2:18" x14ac:dyDescent="0.25">
      <c r="B44" t="str">
        <v>Model Color - Yellow Green</v>
      </c>
      <c r="C44" s="7">
        <v>954</v>
      </c>
      <c r="D44" t="str">
        <v>Model Color</v>
      </c>
      <c r="E44" t="str">
        <v>70.954</v>
      </c>
      <c r="F44" t="str">
        <v>Nee</v>
      </c>
      <c r="G44" s="20">
        <v>0</v>
      </c>
      <c r="H44" s="21" t="str">
        <v>Nee</v>
      </c>
      <c r="K44" s="23"/>
      <c r="L44" t="str">
        <f>IF(K44="","",IFERROR(_xlfn.XLOOKUP(K44,verfvoorraad!C:C,verfvoorraad!B:B),IFERROR(_xlfn.XLOOKUP(IF(LEFT(UPPER(K44),4)="REV-","REV-"&amp;VALUE(MID(K44,5,99)),IF(LEN(K44)=5,LEFT(K44,2)&amp;"."&amp;RIGHT(K44,3),K44)),verfvoorraad!E:E,verfvoorraad!B:B),"Niet gevonden")))</f>
        <v/>
      </c>
      <c r="M44" t="str">
        <f>IF(K44="","",IFERROR(_xlfn.XLOOKUP(K44,verfvoorraad!C:C,verfvoorraad!D:D),IFERROR(_xlfn.XLOOKUP(IF(LEFT(UPPER(K44),4)="REV-","REV-"&amp;VALUE(MID(K44,5,99)),IF(LEN(K44)=5,LEFT(K44,2)&amp;"."&amp;RIGHT(K44,3),K44)),verfvoorraad!E:E,verfvoorraad!D:D),"Niet gevonden")))</f>
        <v/>
      </c>
      <c r="N44" t="str">
        <f>IF(K44="","",IFERROR(_xlfn.XLOOKUP(K44,verfvoorraad!C:C,verfvoorraad!E:E),IFERROR(_xlfn.XLOOKUP(IF(LEFT(UPPER(K44),4)="REV-","REV-"&amp;VALUE(MID(K44,5,99)),IF(LEN(K44)=5,LEFT(K44,2)&amp;"."&amp;RIGHT(K44,3),K44)),verfvoorraad!E:E,verfvoorraad!E:E),"Niet gevonden")))</f>
        <v/>
      </c>
      <c r="O44" t="str">
        <f>IF(K44="","",IFERROR(_xlfn.XLOOKUP(K44,verfvoorraad!C:C,verfvoorraad!F:F),IFERROR(_xlfn.XLOOKUP(IF(LEFT(UPPER(K44),4)="REV-","REV-"&amp;VALUE(MID(K44,5,99)),IF(LEN(K44)=5,LEFT(K44,2)&amp;"."&amp;RIGHT(K44,3),K44)),verfvoorraad!E:E,verfvoorraad!F:F),"Niet gevonden")))</f>
        <v/>
      </c>
      <c r="P44" t="str">
        <f>IF(K44="","",IFERROR(_xlfn.XLOOKUP(K44,verfvoorraad!C:C,verfvoorraad!G:G),IFERROR(_xlfn.XLOOKUP(IF(LEFT(UPPER(K44),4)="REV-","REV-"&amp;VALUE(MID(K44,5,99)),IF(LEN(K44)=5,LEFT(K44,2)&amp;"."&amp;RIGHT(K44,3),K44)),verfvoorraad!E:E,verfvoorraad!G:G),"Niet gevonden")))</f>
        <v/>
      </c>
      <c r="Q44" t="str">
        <f t="shared" si="0"/>
        <v/>
      </c>
      <c r="R44" t="str">
        <f t="shared" si="1"/>
        <v/>
      </c>
    </row>
    <row r="45" spans="2:18" x14ac:dyDescent="0.25">
      <c r="B45" t="str">
        <v>Model Color - Desert Yellow</v>
      </c>
      <c r="C45" s="7">
        <v>977</v>
      </c>
      <c r="D45" t="str">
        <v>Model Color</v>
      </c>
      <c r="E45" t="str">
        <v>70.977</v>
      </c>
      <c r="F45" t="str">
        <v>Nee</v>
      </c>
      <c r="G45" s="20">
        <v>0</v>
      </c>
      <c r="H45" s="21" t="str">
        <v>Nee</v>
      </c>
      <c r="K45" s="23"/>
      <c r="L45" t="str">
        <f>IF(K45="","",IFERROR(_xlfn.XLOOKUP(K45,verfvoorraad!C:C,verfvoorraad!B:B),IFERROR(_xlfn.XLOOKUP(IF(LEFT(UPPER(K45),4)="REV-","REV-"&amp;VALUE(MID(K45,5,99)),IF(LEN(K45)=5,LEFT(K45,2)&amp;"."&amp;RIGHT(K45,3),K45)),verfvoorraad!E:E,verfvoorraad!B:B),"Niet gevonden")))</f>
        <v/>
      </c>
      <c r="M45" t="str">
        <f>IF(K45="","",IFERROR(_xlfn.XLOOKUP(K45,verfvoorraad!C:C,verfvoorraad!D:D),IFERROR(_xlfn.XLOOKUP(IF(LEFT(UPPER(K45),4)="REV-","REV-"&amp;VALUE(MID(K45,5,99)),IF(LEN(K45)=5,LEFT(K45,2)&amp;"."&amp;RIGHT(K45,3),K45)),verfvoorraad!E:E,verfvoorraad!D:D),"Niet gevonden")))</f>
        <v/>
      </c>
      <c r="N45" t="str">
        <f>IF(K45="","",IFERROR(_xlfn.XLOOKUP(K45,verfvoorraad!C:C,verfvoorraad!E:E),IFERROR(_xlfn.XLOOKUP(IF(LEFT(UPPER(K45),4)="REV-","REV-"&amp;VALUE(MID(K45,5,99)),IF(LEN(K45)=5,LEFT(K45,2)&amp;"."&amp;RIGHT(K45,3),K45)),verfvoorraad!E:E,verfvoorraad!E:E),"Niet gevonden")))</f>
        <v/>
      </c>
      <c r="O45" t="str">
        <f>IF(K45="","",IFERROR(_xlfn.XLOOKUP(K45,verfvoorraad!C:C,verfvoorraad!F:F),IFERROR(_xlfn.XLOOKUP(IF(LEFT(UPPER(K45),4)="REV-","REV-"&amp;VALUE(MID(K45,5,99)),IF(LEN(K45)=5,LEFT(K45,2)&amp;"."&amp;RIGHT(K45,3),K45)),verfvoorraad!E:E,verfvoorraad!F:F),"Niet gevonden")))</f>
        <v/>
      </c>
      <c r="P45" t="str">
        <f>IF(K45="","",IFERROR(_xlfn.XLOOKUP(K45,verfvoorraad!C:C,verfvoorraad!G:G),IFERROR(_xlfn.XLOOKUP(IF(LEFT(UPPER(K45),4)="REV-","REV-"&amp;VALUE(MID(K45,5,99)),IF(LEN(K45)=5,LEFT(K45,2)&amp;"."&amp;RIGHT(K45,3),K45)),verfvoorraad!E:E,verfvoorraad!G:G),"Niet gevonden")))</f>
        <v/>
      </c>
      <c r="Q45" t="str">
        <f t="shared" si="0"/>
        <v/>
      </c>
      <c r="R45" t="str">
        <f t="shared" si="1"/>
        <v/>
      </c>
    </row>
    <row r="46" spans="2:18" x14ac:dyDescent="0.25">
      <c r="B46" t="str">
        <v>Model Color - Dark Yellow</v>
      </c>
      <c r="C46" s="7">
        <v>978</v>
      </c>
      <c r="D46" t="str">
        <v>Model Color</v>
      </c>
      <c r="E46" t="str">
        <v>70.978</v>
      </c>
      <c r="F46" t="str">
        <v>Nee</v>
      </c>
      <c r="G46" s="20">
        <v>0</v>
      </c>
      <c r="H46" s="21" t="str">
        <v>Nee</v>
      </c>
      <c r="K46" s="23"/>
      <c r="L46" t="str">
        <f>IF(K46="","",IFERROR(_xlfn.XLOOKUP(K46,verfvoorraad!C:C,verfvoorraad!B:B),IFERROR(_xlfn.XLOOKUP(IF(LEFT(UPPER(K46),4)="REV-","REV-"&amp;VALUE(MID(K46,5,99)),IF(LEN(K46)=5,LEFT(K46,2)&amp;"."&amp;RIGHT(K46,3),K46)),verfvoorraad!E:E,verfvoorraad!B:B),"Niet gevonden")))</f>
        <v/>
      </c>
      <c r="M46" t="str">
        <f>IF(K46="","",IFERROR(_xlfn.XLOOKUP(K46,verfvoorraad!C:C,verfvoorraad!D:D),IFERROR(_xlfn.XLOOKUP(IF(LEFT(UPPER(K46),4)="REV-","REV-"&amp;VALUE(MID(K46,5,99)),IF(LEN(K46)=5,LEFT(K46,2)&amp;"."&amp;RIGHT(K46,3),K46)),verfvoorraad!E:E,verfvoorraad!D:D),"Niet gevonden")))</f>
        <v/>
      </c>
      <c r="N46" t="str">
        <f>IF(K46="","",IFERROR(_xlfn.XLOOKUP(K46,verfvoorraad!C:C,verfvoorraad!E:E),IFERROR(_xlfn.XLOOKUP(IF(LEFT(UPPER(K46),4)="REV-","REV-"&amp;VALUE(MID(K46,5,99)),IF(LEN(K46)=5,LEFT(K46,2)&amp;"."&amp;RIGHT(K46,3),K46)),verfvoorraad!E:E,verfvoorraad!E:E),"Niet gevonden")))</f>
        <v/>
      </c>
      <c r="O46" t="str">
        <f>IF(K46="","",IFERROR(_xlfn.XLOOKUP(K46,verfvoorraad!C:C,verfvoorraad!F:F),IFERROR(_xlfn.XLOOKUP(IF(LEFT(UPPER(K46),4)="REV-","REV-"&amp;VALUE(MID(K46,5,99)),IF(LEN(K46)=5,LEFT(K46,2)&amp;"."&amp;RIGHT(K46,3),K46)),verfvoorraad!E:E,verfvoorraad!F:F),"Niet gevonden")))</f>
        <v/>
      </c>
      <c r="P46" t="str">
        <f>IF(K46="","",IFERROR(_xlfn.XLOOKUP(K46,verfvoorraad!C:C,verfvoorraad!G:G),IFERROR(_xlfn.XLOOKUP(IF(LEFT(UPPER(K46),4)="REV-","REV-"&amp;VALUE(MID(K46,5,99)),IF(LEN(K46)=5,LEFT(K46,2)&amp;"."&amp;RIGHT(K46,3),K46)),verfvoorraad!E:E,verfvoorraad!G:G),"Niet gevonden")))</f>
        <v/>
      </c>
      <c r="Q46" t="str">
        <f t="shared" si="0"/>
        <v/>
      </c>
      <c r="R46" t="str">
        <f t="shared" si="1"/>
        <v/>
      </c>
    </row>
    <row r="47" spans="2:18" x14ac:dyDescent="0.25">
      <c r="B47" t="str">
        <v>Flat Yellowish Olive</v>
      </c>
      <c r="C47" s="7">
        <v>42</v>
      </c>
      <c r="D47" t="str">
        <v>Enamel Revell</v>
      </c>
      <c r="E47" t="str">
        <v>REV-42</v>
      </c>
      <c r="F47" t="str">
        <v>Nee</v>
      </c>
      <c r="G47" s="20">
        <v>0</v>
      </c>
      <c r="H47" s="21" t="str">
        <v>Nee</v>
      </c>
      <c r="K47" s="23"/>
      <c r="L47" t="str">
        <f>IF(K47="","",IFERROR(_xlfn.XLOOKUP(K47,verfvoorraad!C:C,verfvoorraad!B:B),IFERROR(_xlfn.XLOOKUP(IF(LEFT(UPPER(K47),4)="REV-","REV-"&amp;VALUE(MID(K47,5,99)),IF(LEN(K47)=5,LEFT(K47,2)&amp;"."&amp;RIGHT(K47,3),K47)),verfvoorraad!E:E,verfvoorraad!B:B),"Niet gevonden")))</f>
        <v/>
      </c>
      <c r="M47" t="str">
        <f>IF(K47="","",IFERROR(_xlfn.XLOOKUP(K47,verfvoorraad!C:C,verfvoorraad!D:D),IFERROR(_xlfn.XLOOKUP(IF(LEFT(UPPER(K47),4)="REV-","REV-"&amp;VALUE(MID(K47,5,99)),IF(LEN(K47)=5,LEFT(K47,2)&amp;"."&amp;RIGHT(K47,3),K47)),verfvoorraad!E:E,verfvoorraad!D:D),"Niet gevonden")))</f>
        <v/>
      </c>
      <c r="N47" t="str">
        <f>IF(K47="","",IFERROR(_xlfn.XLOOKUP(K47,verfvoorraad!C:C,verfvoorraad!E:E),IFERROR(_xlfn.XLOOKUP(IF(LEFT(UPPER(K47),4)="REV-","REV-"&amp;VALUE(MID(K47,5,99)),IF(LEN(K47)=5,LEFT(K47,2)&amp;"."&amp;RIGHT(K47,3),K47)),verfvoorraad!E:E,verfvoorraad!E:E),"Niet gevonden")))</f>
        <v/>
      </c>
      <c r="O47" t="str">
        <f>IF(K47="","",IFERROR(_xlfn.XLOOKUP(K47,verfvoorraad!C:C,verfvoorraad!F:F),IFERROR(_xlfn.XLOOKUP(IF(LEFT(UPPER(K47),4)="REV-","REV-"&amp;VALUE(MID(K47,5,99)),IF(LEN(K47)=5,LEFT(K47,2)&amp;"."&amp;RIGHT(K47,3),K47)),verfvoorraad!E:E,verfvoorraad!F:F),"Niet gevonden")))</f>
        <v/>
      </c>
      <c r="P47" t="str">
        <f>IF(K47="","",IFERROR(_xlfn.XLOOKUP(K47,verfvoorraad!C:C,verfvoorraad!G:G),IFERROR(_xlfn.XLOOKUP(IF(LEFT(UPPER(K47),4)="REV-","REV-"&amp;VALUE(MID(K47,5,99)),IF(LEN(K47)=5,LEFT(K47,2)&amp;"."&amp;RIGHT(K47,3),K47)),verfvoorraad!E:E,verfvoorraad!G:G),"Niet gevonden")))</f>
        <v/>
      </c>
      <c r="Q47" t="str">
        <f t="shared" si="0"/>
        <v/>
      </c>
      <c r="R47" t="str">
        <f t="shared" si="1"/>
        <v/>
      </c>
    </row>
    <row r="48" spans="2:18" x14ac:dyDescent="0.25">
      <c r="B48" t="str">
        <v>Semi Gloss Lufthansa Yellow</v>
      </c>
      <c r="C48" s="7">
        <v>310</v>
      </c>
      <c r="D48" t="str">
        <v>Enamel Revell</v>
      </c>
      <c r="E48" t="str">
        <v>REV-310</v>
      </c>
      <c r="F48" t="str">
        <v>Nee</v>
      </c>
      <c r="G48" s="20">
        <v>0</v>
      </c>
      <c r="H48" s="21" t="str">
        <v>Nee</v>
      </c>
      <c r="K48" s="23"/>
      <c r="L48" t="str">
        <f>IF(K48="","",IFERROR(_xlfn.XLOOKUP(K48,verfvoorraad!C:C,verfvoorraad!B:B),IFERROR(_xlfn.XLOOKUP(IF(LEFT(UPPER(K48),4)="REV-","REV-"&amp;VALUE(MID(K48,5,99)),IF(LEN(K48)=5,LEFT(K48,2)&amp;"."&amp;RIGHT(K48,3),K48)),verfvoorraad!E:E,verfvoorraad!B:B),"Niet gevonden")))</f>
        <v/>
      </c>
      <c r="M48" t="str">
        <f>IF(K48="","",IFERROR(_xlfn.XLOOKUP(K48,verfvoorraad!C:C,verfvoorraad!D:D),IFERROR(_xlfn.XLOOKUP(IF(LEFT(UPPER(K48),4)="REV-","REV-"&amp;VALUE(MID(K48,5,99)),IF(LEN(K48)=5,LEFT(K48,2)&amp;"."&amp;RIGHT(K48,3),K48)),verfvoorraad!E:E,verfvoorraad!D:D),"Niet gevonden")))</f>
        <v/>
      </c>
      <c r="N48" t="str">
        <f>IF(K48="","",IFERROR(_xlfn.XLOOKUP(K48,verfvoorraad!C:C,verfvoorraad!E:E),IFERROR(_xlfn.XLOOKUP(IF(LEFT(UPPER(K48),4)="REV-","REV-"&amp;VALUE(MID(K48,5,99)),IF(LEN(K48)=5,LEFT(K48,2)&amp;"."&amp;RIGHT(K48,3),K48)),verfvoorraad!E:E,verfvoorraad!E:E),"Niet gevonden")))</f>
        <v/>
      </c>
      <c r="O48" t="str">
        <f>IF(K48="","",IFERROR(_xlfn.XLOOKUP(K48,verfvoorraad!C:C,verfvoorraad!F:F),IFERROR(_xlfn.XLOOKUP(IF(LEFT(UPPER(K48),4)="REV-","REV-"&amp;VALUE(MID(K48,5,99)),IF(LEN(K48)=5,LEFT(K48,2)&amp;"."&amp;RIGHT(K48,3),K48)),verfvoorraad!E:E,verfvoorraad!F:F),"Niet gevonden")))</f>
        <v/>
      </c>
      <c r="P48" t="str">
        <f>IF(K48="","",IFERROR(_xlfn.XLOOKUP(K48,verfvoorraad!C:C,verfvoorraad!G:G),IFERROR(_xlfn.XLOOKUP(IF(LEFT(UPPER(K48),4)="REV-","REV-"&amp;VALUE(MID(K48,5,99)),IF(LEN(K48)=5,LEFT(K48,2)&amp;"."&amp;RIGHT(K48,3),K48)),verfvoorraad!E:E,verfvoorraad!G:G),"Niet gevonden")))</f>
        <v/>
      </c>
      <c r="Q48" t="str">
        <f t="shared" si="0"/>
        <v/>
      </c>
      <c r="R48" t="str">
        <f t="shared" si="1"/>
        <v/>
      </c>
    </row>
    <row r="49" spans="2:18" x14ac:dyDescent="0.25">
      <c r="B49" t="str">
        <v>Semi Gloss Luminous Yellow</v>
      </c>
      <c r="C49" s="7">
        <v>312</v>
      </c>
      <c r="D49" t="str">
        <v>Enamel Revell</v>
      </c>
      <c r="E49" t="str">
        <v>REV-312</v>
      </c>
      <c r="F49" t="str">
        <v>Nee</v>
      </c>
      <c r="G49" s="20">
        <v>0</v>
      </c>
      <c r="H49" s="21" t="str">
        <v>Nee</v>
      </c>
      <c r="K49" s="23"/>
      <c r="L49" t="str">
        <f>IF(K49="","",IFERROR(_xlfn.XLOOKUP(K49,verfvoorraad!C:C,verfvoorraad!B:B),IFERROR(_xlfn.XLOOKUP(IF(LEFT(UPPER(K49),4)="REV-","REV-"&amp;VALUE(MID(K49,5,99)),IF(LEN(K49)=5,LEFT(K49,2)&amp;"."&amp;RIGHT(K49,3),K49)),verfvoorraad!E:E,verfvoorraad!B:B),"Niet gevonden")))</f>
        <v/>
      </c>
      <c r="M49" t="str">
        <f>IF(K49="","",IFERROR(_xlfn.XLOOKUP(K49,verfvoorraad!C:C,verfvoorraad!D:D),IFERROR(_xlfn.XLOOKUP(IF(LEFT(UPPER(K49),4)="REV-","REV-"&amp;VALUE(MID(K49,5,99)),IF(LEN(K49)=5,LEFT(K49,2)&amp;"."&amp;RIGHT(K49,3),K49)),verfvoorraad!E:E,verfvoorraad!D:D),"Niet gevonden")))</f>
        <v/>
      </c>
      <c r="N49" t="str">
        <f>IF(K49="","",IFERROR(_xlfn.XLOOKUP(K49,verfvoorraad!C:C,verfvoorraad!E:E),IFERROR(_xlfn.XLOOKUP(IF(LEFT(UPPER(K49),4)="REV-","REV-"&amp;VALUE(MID(K49,5,99)),IF(LEN(K49)=5,LEFT(K49,2)&amp;"."&amp;RIGHT(K49,3),K49)),verfvoorraad!E:E,verfvoorraad!E:E),"Niet gevonden")))</f>
        <v/>
      </c>
      <c r="O49" t="str">
        <f>IF(K49="","",IFERROR(_xlfn.XLOOKUP(K49,verfvoorraad!C:C,verfvoorraad!F:F),IFERROR(_xlfn.XLOOKUP(IF(LEFT(UPPER(K49),4)="REV-","REV-"&amp;VALUE(MID(K49,5,99)),IF(LEN(K49)=5,LEFT(K49,2)&amp;"."&amp;RIGHT(K49,3),K49)),verfvoorraad!E:E,verfvoorraad!F:F),"Niet gevonden")))</f>
        <v/>
      </c>
      <c r="P49" t="str">
        <f>IF(K49="","",IFERROR(_xlfn.XLOOKUP(K49,verfvoorraad!C:C,verfvoorraad!G:G),IFERROR(_xlfn.XLOOKUP(IF(LEFT(UPPER(K49),4)="REV-","REV-"&amp;VALUE(MID(K49,5,99)),IF(LEN(K49)=5,LEFT(K49,2)&amp;"."&amp;RIGHT(K49,3),K49)),verfvoorraad!E:E,verfvoorraad!G:G),"Niet gevonden")))</f>
        <v/>
      </c>
      <c r="Q49" t="str">
        <f t="shared" si="0"/>
        <v/>
      </c>
      <c r="R49" t="str">
        <f t="shared" si="1"/>
        <v/>
      </c>
    </row>
    <row r="50" spans="2:18" x14ac:dyDescent="0.25">
      <c r="F50"/>
      <c r="G50" s="20"/>
      <c r="H50" s="21"/>
      <c r="K50" s="23"/>
      <c r="L50" t="str">
        <f>IF(K50="","",IFERROR(_xlfn.XLOOKUP(K50,verfvoorraad!C:C,verfvoorraad!B:B),IFERROR(_xlfn.XLOOKUP(IF(LEFT(UPPER(K50),4)="REV-","REV-"&amp;VALUE(MID(K50,5,99)),IF(LEN(K50)=5,LEFT(K50,2)&amp;"."&amp;RIGHT(K50,3),K50)),verfvoorraad!E:E,verfvoorraad!B:B),"Niet gevonden")))</f>
        <v/>
      </c>
      <c r="M50" t="str">
        <f>IF(K50="","",IFERROR(_xlfn.XLOOKUP(K50,verfvoorraad!C:C,verfvoorraad!D:D),IFERROR(_xlfn.XLOOKUP(IF(LEFT(UPPER(K50),4)="REV-","REV-"&amp;VALUE(MID(K50,5,99)),IF(LEN(K50)=5,LEFT(K50,2)&amp;"."&amp;RIGHT(K50,3),K50)),verfvoorraad!E:E,verfvoorraad!D:D),"Niet gevonden")))</f>
        <v/>
      </c>
      <c r="N50" t="str">
        <f>IF(K50="","",IFERROR(_xlfn.XLOOKUP(K50,verfvoorraad!C:C,verfvoorraad!E:E),IFERROR(_xlfn.XLOOKUP(IF(LEFT(UPPER(K50),4)="REV-","REV-"&amp;VALUE(MID(K50,5,99)),IF(LEN(K50)=5,LEFT(K50,2)&amp;"."&amp;RIGHT(K50,3),K50)),verfvoorraad!E:E,verfvoorraad!E:E),"Niet gevonden")))</f>
        <v/>
      </c>
      <c r="O50" t="str">
        <f>IF(K50="","",IFERROR(_xlfn.XLOOKUP(K50,verfvoorraad!C:C,verfvoorraad!F:F),IFERROR(_xlfn.XLOOKUP(IF(LEFT(UPPER(K50),4)="REV-","REV-"&amp;VALUE(MID(K50,5,99)),IF(LEN(K50)=5,LEFT(K50,2)&amp;"."&amp;RIGHT(K50,3),K50)),verfvoorraad!E:E,verfvoorraad!F:F),"Niet gevonden")))</f>
        <v/>
      </c>
      <c r="P50" t="str">
        <f>IF(K50="","",IFERROR(_xlfn.XLOOKUP(K50,verfvoorraad!C:C,verfvoorraad!G:G),IFERROR(_xlfn.XLOOKUP(IF(LEFT(UPPER(K50),4)="REV-","REV-"&amp;VALUE(MID(K50,5,99)),IF(LEN(K50)=5,LEFT(K50,2)&amp;"."&amp;RIGHT(K50,3),K50)),verfvoorraad!E:E,verfvoorraad!G:G),"Niet gevonden")))</f>
        <v/>
      </c>
      <c r="Q50" t="str">
        <f t="shared" si="0"/>
        <v/>
      </c>
      <c r="R50" t="str">
        <f t="shared" si="1"/>
        <v/>
      </c>
    </row>
    <row r="51" spans="2:18" x14ac:dyDescent="0.25">
      <c r="F51"/>
      <c r="G51" s="20"/>
      <c r="H51" s="21"/>
      <c r="K51" s="23"/>
      <c r="L51" t="str">
        <f>IF(K51="","",IFERROR(_xlfn.XLOOKUP(K51,verfvoorraad!C:C,verfvoorraad!B:B),IFERROR(_xlfn.XLOOKUP(IF(LEFT(UPPER(K51),4)="REV-","REV-"&amp;VALUE(MID(K51,5,99)),IF(LEN(K51)=5,LEFT(K51,2)&amp;"."&amp;RIGHT(K51,3),K51)),verfvoorraad!E:E,verfvoorraad!B:B),"Niet gevonden")))</f>
        <v/>
      </c>
      <c r="M51" t="str">
        <f>IF(K51="","",IFERROR(_xlfn.XLOOKUP(K51,verfvoorraad!C:C,verfvoorraad!D:D),IFERROR(_xlfn.XLOOKUP(IF(LEFT(UPPER(K51),4)="REV-","REV-"&amp;VALUE(MID(K51,5,99)),IF(LEN(K51)=5,LEFT(K51,2)&amp;"."&amp;RIGHT(K51,3),K51)),verfvoorraad!E:E,verfvoorraad!D:D),"Niet gevonden")))</f>
        <v/>
      </c>
      <c r="N51" t="str">
        <f>IF(K51="","",IFERROR(_xlfn.XLOOKUP(K51,verfvoorraad!C:C,verfvoorraad!E:E),IFERROR(_xlfn.XLOOKUP(IF(LEFT(UPPER(K51),4)="REV-","REV-"&amp;VALUE(MID(K51,5,99)),IF(LEN(K51)=5,LEFT(K51,2)&amp;"."&amp;RIGHT(K51,3),K51)),verfvoorraad!E:E,verfvoorraad!E:E),"Niet gevonden")))</f>
        <v/>
      </c>
      <c r="O51" t="str">
        <f>IF(K51="","",IFERROR(_xlfn.XLOOKUP(K51,verfvoorraad!C:C,verfvoorraad!F:F),IFERROR(_xlfn.XLOOKUP(IF(LEFT(UPPER(K51),4)="REV-","REV-"&amp;VALUE(MID(K51,5,99)),IF(LEN(K51)=5,LEFT(K51,2)&amp;"."&amp;RIGHT(K51,3),K51)),verfvoorraad!E:E,verfvoorraad!F:F),"Niet gevonden")))</f>
        <v/>
      </c>
      <c r="P51" t="str">
        <f>IF(K51="","",IFERROR(_xlfn.XLOOKUP(K51,verfvoorraad!C:C,verfvoorraad!G:G),IFERROR(_xlfn.XLOOKUP(IF(LEFT(UPPER(K51),4)="REV-","REV-"&amp;VALUE(MID(K51,5,99)),IF(LEN(K51)=5,LEFT(K51,2)&amp;"."&amp;RIGHT(K51,3),K51)),verfvoorraad!E:E,verfvoorraad!G:G),"Niet gevonden")))</f>
        <v/>
      </c>
      <c r="Q51" t="str">
        <f t="shared" si="0"/>
        <v/>
      </c>
      <c r="R51" t="str">
        <f t="shared" si="1"/>
        <v/>
      </c>
    </row>
    <row r="52" spans="2:18" x14ac:dyDescent="0.25">
      <c r="F52"/>
      <c r="G52" s="20"/>
      <c r="H52" s="21"/>
      <c r="K52" s="23"/>
      <c r="L52" t="str">
        <f>IF(K52="","",IFERROR(_xlfn.XLOOKUP(K52,verfvoorraad!C:C,verfvoorraad!B:B),IFERROR(_xlfn.XLOOKUP(IF(LEFT(UPPER(K52),4)="REV-","REV-"&amp;VALUE(MID(K52,5,99)),IF(LEN(K52)=5,LEFT(K52,2)&amp;"."&amp;RIGHT(K52,3),K52)),verfvoorraad!E:E,verfvoorraad!B:B),"Niet gevonden")))</f>
        <v/>
      </c>
      <c r="M52" t="str">
        <f>IF(K52="","",IFERROR(_xlfn.XLOOKUP(K52,verfvoorraad!C:C,verfvoorraad!D:D),IFERROR(_xlfn.XLOOKUP(IF(LEFT(UPPER(K52),4)="REV-","REV-"&amp;VALUE(MID(K52,5,99)),IF(LEN(K52)=5,LEFT(K52,2)&amp;"."&amp;RIGHT(K52,3),K52)),verfvoorraad!E:E,verfvoorraad!D:D),"Niet gevonden")))</f>
        <v/>
      </c>
      <c r="N52" t="str">
        <f>IF(K52="","",IFERROR(_xlfn.XLOOKUP(K52,verfvoorraad!C:C,verfvoorraad!E:E),IFERROR(_xlfn.XLOOKUP(IF(LEFT(UPPER(K52),4)="REV-","REV-"&amp;VALUE(MID(K52,5,99)),IF(LEN(K52)=5,LEFT(K52,2)&amp;"."&amp;RIGHT(K52,3),K52)),verfvoorraad!E:E,verfvoorraad!E:E),"Niet gevonden")))</f>
        <v/>
      </c>
      <c r="O52" t="str">
        <f>IF(K52="","",IFERROR(_xlfn.XLOOKUP(K52,verfvoorraad!C:C,verfvoorraad!F:F),IFERROR(_xlfn.XLOOKUP(IF(LEFT(UPPER(K52),4)="REV-","REV-"&amp;VALUE(MID(K52,5,99)),IF(LEN(K52)=5,LEFT(K52,2)&amp;"."&amp;RIGHT(K52,3),K52)),verfvoorraad!E:E,verfvoorraad!F:F),"Niet gevonden")))</f>
        <v/>
      </c>
      <c r="P52" t="str">
        <f>IF(K52="","",IFERROR(_xlfn.XLOOKUP(K52,verfvoorraad!C:C,verfvoorraad!G:G),IFERROR(_xlfn.XLOOKUP(IF(LEFT(UPPER(K52),4)="REV-","REV-"&amp;VALUE(MID(K52,5,99)),IF(LEN(K52)=5,LEFT(K52,2)&amp;"."&amp;RIGHT(K52,3),K52)),verfvoorraad!E:E,verfvoorraad!G:G),"Niet gevonden")))</f>
        <v/>
      </c>
      <c r="Q52" t="str">
        <f t="shared" si="0"/>
        <v/>
      </c>
      <c r="R52" t="str">
        <f t="shared" si="1"/>
        <v/>
      </c>
    </row>
    <row r="53" spans="2:18" x14ac:dyDescent="0.25">
      <c r="F53"/>
      <c r="G53" s="20"/>
      <c r="H53" s="21"/>
      <c r="K53" s="23"/>
      <c r="L53" t="str">
        <f>IF(K53="","",IFERROR(_xlfn.XLOOKUP(K53,verfvoorraad!C:C,verfvoorraad!B:B),IFERROR(_xlfn.XLOOKUP(IF(LEFT(UPPER(K53),4)="REV-","REV-"&amp;VALUE(MID(K53,5,99)),IF(LEN(K53)=5,LEFT(K53,2)&amp;"."&amp;RIGHT(K53,3),K53)),verfvoorraad!E:E,verfvoorraad!B:B),"Niet gevonden")))</f>
        <v/>
      </c>
      <c r="M53" t="str">
        <f>IF(K53="","",IFERROR(_xlfn.XLOOKUP(K53,verfvoorraad!C:C,verfvoorraad!D:D),IFERROR(_xlfn.XLOOKUP(IF(LEFT(UPPER(K53),4)="REV-","REV-"&amp;VALUE(MID(K53,5,99)),IF(LEN(K53)=5,LEFT(K53,2)&amp;"."&amp;RIGHT(K53,3),K53)),verfvoorraad!E:E,verfvoorraad!D:D),"Niet gevonden")))</f>
        <v/>
      </c>
      <c r="N53" t="str">
        <f>IF(K53="","",IFERROR(_xlfn.XLOOKUP(K53,verfvoorraad!C:C,verfvoorraad!E:E),IFERROR(_xlfn.XLOOKUP(IF(LEFT(UPPER(K53),4)="REV-","REV-"&amp;VALUE(MID(K53,5,99)),IF(LEN(K53)=5,LEFT(K53,2)&amp;"."&amp;RIGHT(K53,3),K53)),verfvoorraad!E:E,verfvoorraad!E:E),"Niet gevonden")))</f>
        <v/>
      </c>
      <c r="O53" t="str">
        <f>IF(K53="","",IFERROR(_xlfn.XLOOKUP(K53,verfvoorraad!C:C,verfvoorraad!F:F),IFERROR(_xlfn.XLOOKUP(IF(LEFT(UPPER(K53),4)="REV-","REV-"&amp;VALUE(MID(K53,5,99)),IF(LEN(K53)=5,LEFT(K53,2)&amp;"."&amp;RIGHT(K53,3),K53)),verfvoorraad!E:E,verfvoorraad!F:F),"Niet gevonden")))</f>
        <v/>
      </c>
      <c r="P53" t="str">
        <f>IF(K53="","",IFERROR(_xlfn.XLOOKUP(K53,verfvoorraad!C:C,verfvoorraad!G:G),IFERROR(_xlfn.XLOOKUP(IF(LEFT(UPPER(K53),4)="REV-","REV-"&amp;VALUE(MID(K53,5,99)),IF(LEN(K53)=5,LEFT(K53,2)&amp;"."&amp;RIGHT(K53,3),K53)),verfvoorraad!E:E,verfvoorraad!G:G),"Niet gevonden")))</f>
        <v/>
      </c>
      <c r="Q53" t="str">
        <f t="shared" si="0"/>
        <v/>
      </c>
      <c r="R53" t="str">
        <f t="shared" si="1"/>
        <v/>
      </c>
    </row>
    <row r="54" spans="2:18" x14ac:dyDescent="0.25">
      <c r="F54"/>
      <c r="G54" s="20"/>
      <c r="H54" s="21"/>
      <c r="K54" s="23"/>
      <c r="L54" t="str">
        <f>IF(K54="","",IFERROR(_xlfn.XLOOKUP(K54,verfvoorraad!C:C,verfvoorraad!B:B),IFERROR(_xlfn.XLOOKUP(IF(LEFT(UPPER(K54),4)="REV-","REV-"&amp;VALUE(MID(K54,5,99)),IF(LEN(K54)=5,LEFT(K54,2)&amp;"."&amp;RIGHT(K54,3),K54)),verfvoorraad!E:E,verfvoorraad!B:B),"Niet gevonden")))</f>
        <v/>
      </c>
      <c r="M54" t="str">
        <f>IF(K54="","",IFERROR(_xlfn.XLOOKUP(K54,verfvoorraad!C:C,verfvoorraad!D:D),IFERROR(_xlfn.XLOOKUP(IF(LEFT(UPPER(K54),4)="REV-","REV-"&amp;VALUE(MID(K54,5,99)),IF(LEN(K54)=5,LEFT(K54,2)&amp;"."&amp;RIGHT(K54,3),K54)),verfvoorraad!E:E,verfvoorraad!D:D),"Niet gevonden")))</f>
        <v/>
      </c>
      <c r="N54" t="str">
        <f>IF(K54="","",IFERROR(_xlfn.XLOOKUP(K54,verfvoorraad!C:C,verfvoorraad!E:E),IFERROR(_xlfn.XLOOKUP(IF(LEFT(UPPER(K54),4)="REV-","REV-"&amp;VALUE(MID(K54,5,99)),IF(LEN(K54)=5,LEFT(K54,2)&amp;"."&amp;RIGHT(K54,3),K54)),verfvoorraad!E:E,verfvoorraad!E:E),"Niet gevonden")))</f>
        <v/>
      </c>
      <c r="O54" t="str">
        <f>IF(K54="","",IFERROR(_xlfn.XLOOKUP(K54,verfvoorraad!C:C,verfvoorraad!F:F),IFERROR(_xlfn.XLOOKUP(IF(LEFT(UPPER(K54),4)="REV-","REV-"&amp;VALUE(MID(K54,5,99)),IF(LEN(K54)=5,LEFT(K54,2)&amp;"."&amp;RIGHT(K54,3),K54)),verfvoorraad!E:E,verfvoorraad!F:F),"Niet gevonden")))</f>
        <v/>
      </c>
      <c r="P54" t="str">
        <f>IF(K54="","",IFERROR(_xlfn.XLOOKUP(K54,verfvoorraad!C:C,verfvoorraad!G:G),IFERROR(_xlfn.XLOOKUP(IF(LEFT(UPPER(K54),4)="REV-","REV-"&amp;VALUE(MID(K54,5,99)),IF(LEN(K54)=5,LEFT(K54,2)&amp;"."&amp;RIGHT(K54,3),K54)),verfvoorraad!E:E,verfvoorraad!G:G),"Niet gevonden")))</f>
        <v/>
      </c>
      <c r="Q54" t="str">
        <f t="shared" si="0"/>
        <v/>
      </c>
      <c r="R54" t="str">
        <f t="shared" si="1"/>
        <v/>
      </c>
    </row>
    <row r="55" spans="2:18" x14ac:dyDescent="0.25">
      <c r="F55"/>
      <c r="G55" s="20"/>
      <c r="H55" s="21"/>
      <c r="K55" s="23"/>
      <c r="L55" t="str">
        <f>IF(K55="","",IFERROR(_xlfn.XLOOKUP(K55,verfvoorraad!C:C,verfvoorraad!B:B),IFERROR(_xlfn.XLOOKUP(IF(LEFT(UPPER(K55),4)="REV-","REV-"&amp;VALUE(MID(K55,5,99)),IF(LEN(K55)=5,LEFT(K55,2)&amp;"."&amp;RIGHT(K55,3),K55)),verfvoorraad!E:E,verfvoorraad!B:B),"Niet gevonden")))</f>
        <v/>
      </c>
      <c r="M55" t="str">
        <f>IF(K55="","",IFERROR(_xlfn.XLOOKUP(K55,verfvoorraad!C:C,verfvoorraad!D:D),IFERROR(_xlfn.XLOOKUP(IF(LEFT(UPPER(K55),4)="REV-","REV-"&amp;VALUE(MID(K55,5,99)),IF(LEN(K55)=5,LEFT(K55,2)&amp;"."&amp;RIGHT(K55,3),K55)),verfvoorraad!E:E,verfvoorraad!D:D),"Niet gevonden")))</f>
        <v/>
      </c>
      <c r="N55" t="str">
        <f>IF(K55="","",IFERROR(_xlfn.XLOOKUP(K55,verfvoorraad!C:C,verfvoorraad!E:E),IFERROR(_xlfn.XLOOKUP(IF(LEFT(UPPER(K55),4)="REV-","REV-"&amp;VALUE(MID(K55,5,99)),IF(LEN(K55)=5,LEFT(K55,2)&amp;"."&amp;RIGHT(K55,3),K55)),verfvoorraad!E:E,verfvoorraad!E:E),"Niet gevonden")))</f>
        <v/>
      </c>
      <c r="O55" t="str">
        <f>IF(K55="","",IFERROR(_xlfn.XLOOKUP(K55,verfvoorraad!C:C,verfvoorraad!F:F),IFERROR(_xlfn.XLOOKUP(IF(LEFT(UPPER(K55),4)="REV-","REV-"&amp;VALUE(MID(K55,5,99)),IF(LEN(K55)=5,LEFT(K55,2)&amp;"."&amp;RIGHT(K55,3),K55)),verfvoorraad!E:E,verfvoorraad!F:F),"Niet gevonden")))</f>
        <v/>
      </c>
      <c r="P55" t="str">
        <f>IF(K55="","",IFERROR(_xlfn.XLOOKUP(K55,verfvoorraad!C:C,verfvoorraad!G:G),IFERROR(_xlfn.XLOOKUP(IF(LEFT(UPPER(K55),4)="REV-","REV-"&amp;VALUE(MID(K55,5,99)),IF(LEN(K55)=5,LEFT(K55,2)&amp;"."&amp;RIGHT(K55,3),K55)),verfvoorraad!E:E,verfvoorraad!G:G),"Niet gevonden")))</f>
        <v/>
      </c>
      <c r="Q55" t="str">
        <f t="shared" si="0"/>
        <v/>
      </c>
      <c r="R55" t="str">
        <f t="shared" si="1"/>
        <v/>
      </c>
    </row>
    <row r="56" spans="2:18" x14ac:dyDescent="0.25">
      <c r="F56"/>
      <c r="G56" s="20"/>
      <c r="H56" s="21"/>
      <c r="K56" s="23"/>
      <c r="L56" t="str">
        <f>IF(K56="","",IFERROR(_xlfn.XLOOKUP(K56,verfvoorraad!C:C,verfvoorraad!B:B),IFERROR(_xlfn.XLOOKUP(IF(LEFT(UPPER(K56),4)="REV-","REV-"&amp;VALUE(MID(K56,5,99)),IF(LEN(K56)=5,LEFT(K56,2)&amp;"."&amp;RIGHT(K56,3),K56)),verfvoorraad!E:E,verfvoorraad!B:B),"Niet gevonden")))</f>
        <v/>
      </c>
      <c r="M56" t="str">
        <f>IF(K56="","",IFERROR(_xlfn.XLOOKUP(K56,verfvoorraad!C:C,verfvoorraad!D:D),IFERROR(_xlfn.XLOOKUP(IF(LEFT(UPPER(K56),4)="REV-","REV-"&amp;VALUE(MID(K56,5,99)),IF(LEN(K56)=5,LEFT(K56,2)&amp;"."&amp;RIGHT(K56,3),K56)),verfvoorraad!E:E,verfvoorraad!D:D),"Niet gevonden")))</f>
        <v/>
      </c>
      <c r="N56" t="str">
        <f>IF(K56="","",IFERROR(_xlfn.XLOOKUP(K56,verfvoorraad!C:C,verfvoorraad!E:E),IFERROR(_xlfn.XLOOKUP(IF(LEFT(UPPER(K56),4)="REV-","REV-"&amp;VALUE(MID(K56,5,99)),IF(LEN(K56)=5,LEFT(K56,2)&amp;"."&amp;RIGHT(K56,3),K56)),verfvoorraad!E:E,verfvoorraad!E:E),"Niet gevonden")))</f>
        <v/>
      </c>
      <c r="O56" t="str">
        <f>IF(K56="","",IFERROR(_xlfn.XLOOKUP(K56,verfvoorraad!C:C,verfvoorraad!F:F),IFERROR(_xlfn.XLOOKUP(IF(LEFT(UPPER(K56),4)="REV-","REV-"&amp;VALUE(MID(K56,5,99)),IF(LEN(K56)=5,LEFT(K56,2)&amp;"."&amp;RIGHT(K56,3),K56)),verfvoorraad!E:E,verfvoorraad!F:F),"Niet gevonden")))</f>
        <v/>
      </c>
      <c r="P56" t="str">
        <f>IF(K56="","",IFERROR(_xlfn.XLOOKUP(K56,verfvoorraad!C:C,verfvoorraad!G:G),IFERROR(_xlfn.XLOOKUP(IF(LEFT(UPPER(K56),4)="REV-","REV-"&amp;VALUE(MID(K56,5,99)),IF(LEN(K56)=5,LEFT(K56,2)&amp;"."&amp;RIGHT(K56,3),K56)),verfvoorraad!E:E,verfvoorraad!G:G),"Niet gevonden")))</f>
        <v/>
      </c>
      <c r="Q56" t="str">
        <f t="shared" si="0"/>
        <v/>
      </c>
      <c r="R56" t="str">
        <f t="shared" si="1"/>
        <v/>
      </c>
    </row>
    <row r="57" spans="2:18" x14ac:dyDescent="0.25">
      <c r="F57"/>
      <c r="G57" s="20"/>
      <c r="H57" s="21"/>
      <c r="K57" s="23"/>
      <c r="L57" t="str">
        <f>IF(K57="","",IFERROR(_xlfn.XLOOKUP(K57,verfvoorraad!C:C,verfvoorraad!B:B),IFERROR(_xlfn.XLOOKUP(IF(LEFT(UPPER(K57),4)="REV-","REV-"&amp;VALUE(MID(K57,5,99)),IF(LEN(K57)=5,LEFT(K57,2)&amp;"."&amp;RIGHT(K57,3),K57)),verfvoorraad!E:E,verfvoorraad!B:B),"Niet gevonden")))</f>
        <v/>
      </c>
      <c r="M57" t="str">
        <f>IF(K57="","",IFERROR(_xlfn.XLOOKUP(K57,verfvoorraad!C:C,verfvoorraad!D:D),IFERROR(_xlfn.XLOOKUP(IF(LEFT(UPPER(K57),4)="REV-","REV-"&amp;VALUE(MID(K57,5,99)),IF(LEN(K57)=5,LEFT(K57,2)&amp;"."&amp;RIGHT(K57,3),K57)),verfvoorraad!E:E,verfvoorraad!D:D),"Niet gevonden")))</f>
        <v/>
      </c>
      <c r="N57" t="str">
        <f>IF(K57="","",IFERROR(_xlfn.XLOOKUP(K57,verfvoorraad!C:C,verfvoorraad!E:E),IFERROR(_xlfn.XLOOKUP(IF(LEFT(UPPER(K57),4)="REV-","REV-"&amp;VALUE(MID(K57,5,99)),IF(LEN(K57)=5,LEFT(K57,2)&amp;"."&amp;RIGHT(K57,3),K57)),verfvoorraad!E:E,verfvoorraad!E:E),"Niet gevonden")))</f>
        <v/>
      </c>
      <c r="O57" t="str">
        <f>IF(K57="","",IFERROR(_xlfn.XLOOKUP(K57,verfvoorraad!C:C,verfvoorraad!F:F),IFERROR(_xlfn.XLOOKUP(IF(LEFT(UPPER(K57),4)="REV-","REV-"&amp;VALUE(MID(K57,5,99)),IF(LEN(K57)=5,LEFT(K57,2)&amp;"."&amp;RIGHT(K57,3),K57)),verfvoorraad!E:E,verfvoorraad!F:F),"Niet gevonden")))</f>
        <v/>
      </c>
      <c r="P57" t="str">
        <f>IF(K57="","",IFERROR(_xlfn.XLOOKUP(K57,verfvoorraad!C:C,verfvoorraad!G:G),IFERROR(_xlfn.XLOOKUP(IF(LEFT(UPPER(K57),4)="REV-","REV-"&amp;VALUE(MID(K57,5,99)),IF(LEN(K57)=5,LEFT(K57,2)&amp;"."&amp;RIGHT(K57,3),K57)),verfvoorraad!E:E,verfvoorraad!G:G),"Niet gevonden")))</f>
        <v/>
      </c>
      <c r="Q57" t="str">
        <f t="shared" si="0"/>
        <v/>
      </c>
      <c r="R57" t="str">
        <f t="shared" si="1"/>
        <v/>
      </c>
    </row>
    <row r="58" spans="2:18" x14ac:dyDescent="0.25">
      <c r="F58"/>
      <c r="G58" s="20"/>
      <c r="H58" s="21"/>
      <c r="K58" s="23"/>
      <c r="L58" t="str">
        <f>IF(K58="","",IFERROR(_xlfn.XLOOKUP(K58,verfvoorraad!C:C,verfvoorraad!B:B),IFERROR(_xlfn.XLOOKUP(IF(LEFT(UPPER(K58),4)="REV-","REV-"&amp;VALUE(MID(K58,5,99)),IF(LEN(K58)=5,LEFT(K58,2)&amp;"."&amp;RIGHT(K58,3),K58)),verfvoorraad!E:E,verfvoorraad!B:B),"Niet gevonden")))</f>
        <v/>
      </c>
      <c r="M58" t="str">
        <f>IF(K58="","",IFERROR(_xlfn.XLOOKUP(K58,verfvoorraad!C:C,verfvoorraad!D:D),IFERROR(_xlfn.XLOOKUP(IF(LEFT(UPPER(K58),4)="REV-","REV-"&amp;VALUE(MID(K58,5,99)),IF(LEN(K58)=5,LEFT(K58,2)&amp;"."&amp;RIGHT(K58,3),K58)),verfvoorraad!E:E,verfvoorraad!D:D),"Niet gevonden")))</f>
        <v/>
      </c>
      <c r="N58" t="str">
        <f>IF(K58="","",IFERROR(_xlfn.XLOOKUP(K58,verfvoorraad!C:C,verfvoorraad!E:E),IFERROR(_xlfn.XLOOKUP(IF(LEFT(UPPER(K58),4)="REV-","REV-"&amp;VALUE(MID(K58,5,99)),IF(LEN(K58)=5,LEFT(K58,2)&amp;"."&amp;RIGHT(K58,3),K58)),verfvoorraad!E:E,verfvoorraad!E:E),"Niet gevonden")))</f>
        <v/>
      </c>
      <c r="O58" t="str">
        <f>IF(K58="","",IFERROR(_xlfn.XLOOKUP(K58,verfvoorraad!C:C,verfvoorraad!F:F),IFERROR(_xlfn.XLOOKUP(IF(LEFT(UPPER(K58),4)="REV-","REV-"&amp;VALUE(MID(K58,5,99)),IF(LEN(K58)=5,LEFT(K58,2)&amp;"."&amp;RIGHT(K58,3),K58)),verfvoorraad!E:E,verfvoorraad!F:F),"Niet gevonden")))</f>
        <v/>
      </c>
      <c r="P58" t="str">
        <f>IF(K58="","",IFERROR(_xlfn.XLOOKUP(K58,verfvoorraad!C:C,verfvoorraad!G:G),IFERROR(_xlfn.XLOOKUP(IF(LEFT(UPPER(K58),4)="REV-","REV-"&amp;VALUE(MID(K58,5,99)),IF(LEN(K58)=5,LEFT(K58,2)&amp;"."&amp;RIGHT(K58,3),K58)),verfvoorraad!E:E,verfvoorraad!G:G),"Niet gevonden")))</f>
        <v/>
      </c>
      <c r="Q58" t="str">
        <f t="shared" si="0"/>
        <v/>
      </c>
      <c r="R58" t="str">
        <f t="shared" si="1"/>
        <v/>
      </c>
    </row>
    <row r="59" spans="2:18" x14ac:dyDescent="0.25">
      <c r="F59"/>
      <c r="G59" s="20"/>
      <c r="H59" s="21"/>
      <c r="K59" s="23"/>
      <c r="L59" t="str">
        <f>IF(K59="","",IFERROR(_xlfn.XLOOKUP(K59,verfvoorraad!C:C,verfvoorraad!B:B),IFERROR(_xlfn.XLOOKUP(IF(LEFT(UPPER(K59),4)="REV-","REV-"&amp;VALUE(MID(K59,5,99)),IF(LEN(K59)=5,LEFT(K59,2)&amp;"."&amp;RIGHT(K59,3),K59)),verfvoorraad!E:E,verfvoorraad!B:B),"Niet gevonden")))</f>
        <v/>
      </c>
      <c r="M59" t="str">
        <f>IF(K59="","",IFERROR(_xlfn.XLOOKUP(K59,verfvoorraad!C:C,verfvoorraad!D:D),IFERROR(_xlfn.XLOOKUP(IF(LEFT(UPPER(K59),4)="REV-","REV-"&amp;VALUE(MID(K59,5,99)),IF(LEN(K59)=5,LEFT(K59,2)&amp;"."&amp;RIGHT(K59,3),K59)),verfvoorraad!E:E,verfvoorraad!D:D),"Niet gevonden")))</f>
        <v/>
      </c>
      <c r="N59" t="str">
        <f>IF(K59="","",IFERROR(_xlfn.XLOOKUP(K59,verfvoorraad!C:C,verfvoorraad!E:E),IFERROR(_xlfn.XLOOKUP(IF(LEFT(UPPER(K59),4)="REV-","REV-"&amp;VALUE(MID(K59,5,99)),IF(LEN(K59)=5,LEFT(K59,2)&amp;"."&amp;RIGHT(K59,3),K59)),verfvoorraad!E:E,verfvoorraad!E:E),"Niet gevonden")))</f>
        <v/>
      </c>
      <c r="O59" t="str">
        <f>IF(K59="","",IFERROR(_xlfn.XLOOKUP(K59,verfvoorraad!C:C,verfvoorraad!F:F),IFERROR(_xlfn.XLOOKUP(IF(LEFT(UPPER(K59),4)="REV-","REV-"&amp;VALUE(MID(K59,5,99)),IF(LEN(K59)=5,LEFT(K59,2)&amp;"."&amp;RIGHT(K59,3),K59)),verfvoorraad!E:E,verfvoorraad!F:F),"Niet gevonden")))</f>
        <v/>
      </c>
      <c r="P59" t="str">
        <f>IF(K59="","",IFERROR(_xlfn.XLOOKUP(K59,verfvoorraad!C:C,verfvoorraad!G:G),IFERROR(_xlfn.XLOOKUP(IF(LEFT(UPPER(K59),4)="REV-","REV-"&amp;VALUE(MID(K59,5,99)),IF(LEN(K59)=5,LEFT(K59,2)&amp;"."&amp;RIGHT(K59,3),K59)),verfvoorraad!E:E,verfvoorraad!G:G),"Niet gevonden")))</f>
        <v/>
      </c>
      <c r="Q59" t="str">
        <f t="shared" si="0"/>
        <v/>
      </c>
      <c r="R59" t="str">
        <f t="shared" si="1"/>
        <v/>
      </c>
    </row>
    <row r="60" spans="2:18" x14ac:dyDescent="0.25">
      <c r="F60"/>
      <c r="G60" s="20"/>
      <c r="H60" s="21"/>
      <c r="K60" s="23"/>
      <c r="L60" t="str">
        <f>IF(K60="","",IFERROR(_xlfn.XLOOKUP(K60,verfvoorraad!C:C,verfvoorraad!B:B),IFERROR(_xlfn.XLOOKUP(IF(LEFT(UPPER(K60),4)="REV-","REV-"&amp;VALUE(MID(K60,5,99)),IF(LEN(K60)=5,LEFT(K60,2)&amp;"."&amp;RIGHT(K60,3),K60)),verfvoorraad!E:E,verfvoorraad!B:B),"Niet gevonden")))</f>
        <v/>
      </c>
      <c r="M60" t="str">
        <f>IF(K60="","",IFERROR(_xlfn.XLOOKUP(K60,verfvoorraad!C:C,verfvoorraad!D:D),IFERROR(_xlfn.XLOOKUP(IF(LEFT(UPPER(K60),4)="REV-","REV-"&amp;VALUE(MID(K60,5,99)),IF(LEN(K60)=5,LEFT(K60,2)&amp;"."&amp;RIGHT(K60,3),K60)),verfvoorraad!E:E,verfvoorraad!D:D),"Niet gevonden")))</f>
        <v/>
      </c>
      <c r="N60" t="str">
        <f>IF(K60="","",IFERROR(_xlfn.XLOOKUP(K60,verfvoorraad!C:C,verfvoorraad!E:E),IFERROR(_xlfn.XLOOKUP(IF(LEFT(UPPER(K60),4)="REV-","REV-"&amp;VALUE(MID(K60,5,99)),IF(LEN(K60)=5,LEFT(K60,2)&amp;"."&amp;RIGHT(K60,3),K60)),verfvoorraad!E:E,verfvoorraad!E:E),"Niet gevonden")))</f>
        <v/>
      </c>
      <c r="O60" t="str">
        <f>IF(K60="","",IFERROR(_xlfn.XLOOKUP(K60,verfvoorraad!C:C,verfvoorraad!F:F),IFERROR(_xlfn.XLOOKUP(IF(LEFT(UPPER(K60),4)="REV-","REV-"&amp;VALUE(MID(K60,5,99)),IF(LEN(K60)=5,LEFT(K60,2)&amp;"."&amp;RIGHT(K60,3),K60)),verfvoorraad!E:E,verfvoorraad!F:F),"Niet gevonden")))</f>
        <v/>
      </c>
      <c r="P60" t="str">
        <f>IF(K60="","",IFERROR(_xlfn.XLOOKUP(K60,verfvoorraad!C:C,verfvoorraad!G:G),IFERROR(_xlfn.XLOOKUP(IF(LEFT(UPPER(K60),4)="REV-","REV-"&amp;VALUE(MID(K60,5,99)),IF(LEN(K60)=5,LEFT(K60,2)&amp;"."&amp;RIGHT(K60,3),K60)),verfvoorraad!E:E,verfvoorraad!G:G),"Niet gevonden")))</f>
        <v/>
      </c>
      <c r="Q60" t="str">
        <f t="shared" si="0"/>
        <v/>
      </c>
      <c r="R60" t="str">
        <f t="shared" si="1"/>
        <v/>
      </c>
    </row>
    <row r="61" spans="2:18" x14ac:dyDescent="0.25">
      <c r="F61"/>
      <c r="G61" s="20"/>
      <c r="H61" s="21"/>
      <c r="K61" s="23"/>
      <c r="L61" t="str">
        <f>IF(K61="","",IFERROR(_xlfn.XLOOKUP(K61,verfvoorraad!C:C,verfvoorraad!B:B),IFERROR(_xlfn.XLOOKUP(IF(LEFT(UPPER(K61),4)="REV-","REV-"&amp;VALUE(MID(K61,5,99)),IF(LEN(K61)=5,LEFT(K61,2)&amp;"."&amp;RIGHT(K61,3),K61)),verfvoorraad!E:E,verfvoorraad!B:B),"Niet gevonden")))</f>
        <v/>
      </c>
      <c r="M61" t="str">
        <f>IF(K61="","",IFERROR(_xlfn.XLOOKUP(K61,verfvoorraad!C:C,verfvoorraad!D:D),IFERROR(_xlfn.XLOOKUP(IF(LEFT(UPPER(K61),4)="REV-","REV-"&amp;VALUE(MID(K61,5,99)),IF(LEN(K61)=5,LEFT(K61,2)&amp;"."&amp;RIGHT(K61,3),K61)),verfvoorraad!E:E,verfvoorraad!D:D),"Niet gevonden")))</f>
        <v/>
      </c>
      <c r="N61" t="str">
        <f>IF(K61="","",IFERROR(_xlfn.XLOOKUP(K61,verfvoorraad!C:C,verfvoorraad!E:E),IFERROR(_xlfn.XLOOKUP(IF(LEFT(UPPER(K61),4)="REV-","REV-"&amp;VALUE(MID(K61,5,99)),IF(LEN(K61)=5,LEFT(K61,2)&amp;"."&amp;RIGHT(K61,3),K61)),verfvoorraad!E:E,verfvoorraad!E:E),"Niet gevonden")))</f>
        <v/>
      </c>
      <c r="O61" t="str">
        <f>IF(K61="","",IFERROR(_xlfn.XLOOKUP(K61,verfvoorraad!C:C,verfvoorraad!F:F),IFERROR(_xlfn.XLOOKUP(IF(LEFT(UPPER(K61),4)="REV-","REV-"&amp;VALUE(MID(K61,5,99)),IF(LEN(K61)=5,LEFT(K61,2)&amp;"."&amp;RIGHT(K61,3),K61)),verfvoorraad!E:E,verfvoorraad!F:F),"Niet gevonden")))</f>
        <v/>
      </c>
      <c r="P61" t="str">
        <f>IF(K61="","",IFERROR(_xlfn.XLOOKUP(K61,verfvoorraad!C:C,verfvoorraad!G:G),IFERROR(_xlfn.XLOOKUP(IF(LEFT(UPPER(K61),4)="REV-","REV-"&amp;VALUE(MID(K61,5,99)),IF(LEN(K61)=5,LEFT(K61,2)&amp;"."&amp;RIGHT(K61,3),K61)),verfvoorraad!E:E,verfvoorraad!G:G),"Niet gevonden")))</f>
        <v/>
      </c>
      <c r="Q61" t="str">
        <f t="shared" si="0"/>
        <v/>
      </c>
      <c r="R61" t="str">
        <f t="shared" si="1"/>
        <v/>
      </c>
    </row>
    <row r="62" spans="2:18" x14ac:dyDescent="0.25">
      <c r="F62"/>
      <c r="G62" s="20"/>
      <c r="H62" s="21"/>
      <c r="K62" s="23"/>
      <c r="L62" t="str">
        <f>IF(K62="","",IFERROR(_xlfn.XLOOKUP(K62,verfvoorraad!C:C,verfvoorraad!B:B),IFERROR(_xlfn.XLOOKUP(IF(LEFT(UPPER(K62),4)="REV-","REV-"&amp;VALUE(MID(K62,5,99)),IF(LEN(K62)=5,LEFT(K62,2)&amp;"."&amp;RIGHT(K62,3),K62)),verfvoorraad!E:E,verfvoorraad!B:B),"Niet gevonden")))</f>
        <v/>
      </c>
      <c r="M62" t="str">
        <f>IF(K62="","",IFERROR(_xlfn.XLOOKUP(K62,verfvoorraad!C:C,verfvoorraad!D:D),IFERROR(_xlfn.XLOOKUP(IF(LEFT(UPPER(K62),4)="REV-","REV-"&amp;VALUE(MID(K62,5,99)),IF(LEN(K62)=5,LEFT(K62,2)&amp;"."&amp;RIGHT(K62,3),K62)),verfvoorraad!E:E,verfvoorraad!D:D),"Niet gevonden")))</f>
        <v/>
      </c>
      <c r="N62" t="str">
        <f>IF(K62="","",IFERROR(_xlfn.XLOOKUP(K62,verfvoorraad!C:C,verfvoorraad!E:E),IFERROR(_xlfn.XLOOKUP(IF(LEFT(UPPER(K62),4)="REV-","REV-"&amp;VALUE(MID(K62,5,99)),IF(LEN(K62)=5,LEFT(K62,2)&amp;"."&amp;RIGHT(K62,3),K62)),verfvoorraad!E:E,verfvoorraad!E:E),"Niet gevonden")))</f>
        <v/>
      </c>
      <c r="O62" t="str">
        <f>IF(K62="","",IFERROR(_xlfn.XLOOKUP(K62,verfvoorraad!C:C,verfvoorraad!F:F),IFERROR(_xlfn.XLOOKUP(IF(LEFT(UPPER(K62),4)="REV-","REV-"&amp;VALUE(MID(K62,5,99)),IF(LEN(K62)=5,LEFT(K62,2)&amp;"."&amp;RIGHT(K62,3),K62)),verfvoorraad!E:E,verfvoorraad!F:F),"Niet gevonden")))</f>
        <v/>
      </c>
      <c r="P62" t="str">
        <f>IF(K62="","",IFERROR(_xlfn.XLOOKUP(K62,verfvoorraad!C:C,verfvoorraad!G:G),IFERROR(_xlfn.XLOOKUP(IF(LEFT(UPPER(K62),4)="REV-","REV-"&amp;VALUE(MID(K62,5,99)),IF(LEN(K62)=5,LEFT(K62,2)&amp;"."&amp;RIGHT(K62,3),K62)),verfvoorraad!E:E,verfvoorraad!G:G),"Niet gevonden")))</f>
        <v/>
      </c>
      <c r="Q62" t="str">
        <f t="shared" si="0"/>
        <v/>
      </c>
      <c r="R62" t="str">
        <f t="shared" si="1"/>
        <v/>
      </c>
    </row>
    <row r="63" spans="2:18" x14ac:dyDescent="0.25">
      <c r="F63"/>
      <c r="G63" s="20"/>
      <c r="H63" s="21"/>
      <c r="K63" s="23"/>
      <c r="L63" t="str">
        <f>IF(K63="","",IFERROR(_xlfn.XLOOKUP(K63,verfvoorraad!C:C,verfvoorraad!B:B),IFERROR(_xlfn.XLOOKUP(IF(LEFT(UPPER(K63),4)="REV-","REV-"&amp;VALUE(MID(K63,5,99)),IF(LEN(K63)=5,LEFT(K63,2)&amp;"."&amp;RIGHT(K63,3),K63)),verfvoorraad!E:E,verfvoorraad!B:B),"Niet gevonden")))</f>
        <v/>
      </c>
      <c r="M63" t="str">
        <f>IF(K63="","",IFERROR(_xlfn.XLOOKUP(K63,verfvoorraad!C:C,verfvoorraad!D:D),IFERROR(_xlfn.XLOOKUP(IF(LEFT(UPPER(K63),4)="REV-","REV-"&amp;VALUE(MID(K63,5,99)),IF(LEN(K63)=5,LEFT(K63,2)&amp;"."&amp;RIGHT(K63,3),K63)),verfvoorraad!E:E,verfvoorraad!D:D),"Niet gevonden")))</f>
        <v/>
      </c>
      <c r="N63" t="str">
        <f>IF(K63="","",IFERROR(_xlfn.XLOOKUP(K63,verfvoorraad!C:C,verfvoorraad!E:E),IFERROR(_xlfn.XLOOKUP(IF(LEFT(UPPER(K63),4)="REV-","REV-"&amp;VALUE(MID(K63,5,99)),IF(LEN(K63)=5,LEFT(K63,2)&amp;"."&amp;RIGHT(K63,3),K63)),verfvoorraad!E:E,verfvoorraad!E:E),"Niet gevonden")))</f>
        <v/>
      </c>
      <c r="O63" t="str">
        <f>IF(K63="","",IFERROR(_xlfn.XLOOKUP(K63,verfvoorraad!C:C,verfvoorraad!F:F),IFERROR(_xlfn.XLOOKUP(IF(LEFT(UPPER(K63),4)="REV-","REV-"&amp;VALUE(MID(K63,5,99)),IF(LEN(K63)=5,LEFT(K63,2)&amp;"."&amp;RIGHT(K63,3),K63)),verfvoorraad!E:E,verfvoorraad!F:F),"Niet gevonden")))</f>
        <v/>
      </c>
      <c r="P63" t="str">
        <f>IF(K63="","",IFERROR(_xlfn.XLOOKUP(K63,verfvoorraad!C:C,verfvoorraad!G:G),IFERROR(_xlfn.XLOOKUP(IF(LEFT(UPPER(K63),4)="REV-","REV-"&amp;VALUE(MID(K63,5,99)),IF(LEN(K63)=5,LEFT(K63,2)&amp;"."&amp;RIGHT(K63,3),K63)),verfvoorraad!E:E,verfvoorraad!G:G),"Niet gevonden")))</f>
        <v/>
      </c>
      <c r="Q63" t="str">
        <f t="shared" si="0"/>
        <v/>
      </c>
      <c r="R63" t="str">
        <f t="shared" si="1"/>
        <v/>
      </c>
    </row>
    <row r="64" spans="2:18" x14ac:dyDescent="0.25">
      <c r="F64"/>
      <c r="G64" s="20"/>
      <c r="H64" s="21"/>
      <c r="K64" s="23"/>
      <c r="L64" t="str">
        <f>IF(K64="","",IFERROR(_xlfn.XLOOKUP(K64,verfvoorraad!C:C,verfvoorraad!B:B),IFERROR(_xlfn.XLOOKUP(IF(LEFT(UPPER(K64),4)="REV-","REV-"&amp;VALUE(MID(K64,5,99)),IF(LEN(K64)=5,LEFT(K64,2)&amp;"."&amp;RIGHT(K64,3),K64)),verfvoorraad!E:E,verfvoorraad!B:B),"Niet gevonden")))</f>
        <v/>
      </c>
      <c r="M64" t="str">
        <f>IF(K64="","",IFERROR(_xlfn.XLOOKUP(K64,verfvoorraad!C:C,verfvoorraad!D:D),IFERROR(_xlfn.XLOOKUP(IF(LEFT(UPPER(K64),4)="REV-","REV-"&amp;VALUE(MID(K64,5,99)),IF(LEN(K64)=5,LEFT(K64,2)&amp;"."&amp;RIGHT(K64,3),K64)),verfvoorraad!E:E,verfvoorraad!D:D),"Niet gevonden")))</f>
        <v/>
      </c>
      <c r="N64" t="str">
        <f>IF(K64="","",IFERROR(_xlfn.XLOOKUP(K64,verfvoorraad!C:C,verfvoorraad!E:E),IFERROR(_xlfn.XLOOKUP(IF(LEFT(UPPER(K64),4)="REV-","REV-"&amp;VALUE(MID(K64,5,99)),IF(LEN(K64)=5,LEFT(K64,2)&amp;"."&amp;RIGHT(K64,3),K64)),verfvoorraad!E:E,verfvoorraad!E:E),"Niet gevonden")))</f>
        <v/>
      </c>
      <c r="O64" t="str">
        <f>IF(K64="","",IFERROR(_xlfn.XLOOKUP(K64,verfvoorraad!C:C,verfvoorraad!F:F),IFERROR(_xlfn.XLOOKUP(IF(LEFT(UPPER(K64),4)="REV-","REV-"&amp;VALUE(MID(K64,5,99)),IF(LEN(K64)=5,LEFT(K64,2)&amp;"."&amp;RIGHT(K64,3),K64)),verfvoorraad!E:E,verfvoorraad!F:F),"Niet gevonden")))</f>
        <v/>
      </c>
      <c r="P64" t="str">
        <f>IF(K64="","",IFERROR(_xlfn.XLOOKUP(K64,verfvoorraad!C:C,verfvoorraad!G:G),IFERROR(_xlfn.XLOOKUP(IF(LEFT(UPPER(K64),4)="REV-","REV-"&amp;VALUE(MID(K64,5,99)),IF(LEN(K64)=5,LEFT(K64,2)&amp;"."&amp;RIGHT(K64,3),K64)),verfvoorraad!E:E,verfvoorraad!G:G),"Niet gevonden")))</f>
        <v/>
      </c>
      <c r="Q64" t="str">
        <f t="shared" si="0"/>
        <v/>
      </c>
      <c r="R64" t="str">
        <f t="shared" si="1"/>
        <v/>
      </c>
    </row>
    <row r="65" spans="6:18" x14ac:dyDescent="0.25">
      <c r="F65"/>
      <c r="G65" s="20"/>
      <c r="H65" s="21"/>
      <c r="K65" s="23"/>
      <c r="L65" t="str">
        <f>IF(K65="","",IFERROR(_xlfn.XLOOKUP(K65,verfvoorraad!C:C,verfvoorraad!B:B),IFERROR(_xlfn.XLOOKUP(IF(LEFT(UPPER(K65),4)="REV-","REV-"&amp;VALUE(MID(K65,5,99)),IF(LEN(K65)=5,LEFT(K65,2)&amp;"."&amp;RIGHT(K65,3),K65)),verfvoorraad!E:E,verfvoorraad!B:B),"Niet gevonden")))</f>
        <v/>
      </c>
      <c r="M65" t="str">
        <f>IF(K65="","",IFERROR(_xlfn.XLOOKUP(K65,verfvoorraad!C:C,verfvoorraad!D:D),IFERROR(_xlfn.XLOOKUP(IF(LEFT(UPPER(K65),4)="REV-","REV-"&amp;VALUE(MID(K65,5,99)),IF(LEN(K65)=5,LEFT(K65,2)&amp;"."&amp;RIGHT(K65,3),K65)),verfvoorraad!E:E,verfvoorraad!D:D),"Niet gevonden")))</f>
        <v/>
      </c>
      <c r="N65" t="str">
        <f>IF(K65="","",IFERROR(_xlfn.XLOOKUP(K65,verfvoorraad!C:C,verfvoorraad!E:E),IFERROR(_xlfn.XLOOKUP(IF(LEFT(UPPER(K65),4)="REV-","REV-"&amp;VALUE(MID(K65,5,99)),IF(LEN(K65)=5,LEFT(K65,2)&amp;"."&amp;RIGHT(K65,3),K65)),verfvoorraad!E:E,verfvoorraad!E:E),"Niet gevonden")))</f>
        <v/>
      </c>
      <c r="O65" t="str">
        <f>IF(K65="","",IFERROR(_xlfn.XLOOKUP(K65,verfvoorraad!C:C,verfvoorraad!F:F),IFERROR(_xlfn.XLOOKUP(IF(LEFT(UPPER(K65),4)="REV-","REV-"&amp;VALUE(MID(K65,5,99)),IF(LEN(K65)=5,LEFT(K65,2)&amp;"."&amp;RIGHT(K65,3),K65)),verfvoorraad!E:E,verfvoorraad!F:F),"Niet gevonden")))</f>
        <v/>
      </c>
      <c r="P65" t="str">
        <f>IF(K65="","",IFERROR(_xlfn.XLOOKUP(K65,verfvoorraad!C:C,verfvoorraad!G:G),IFERROR(_xlfn.XLOOKUP(IF(LEFT(UPPER(K65),4)="REV-","REV-"&amp;VALUE(MID(K65,5,99)),IF(LEN(K65)=5,LEFT(K65,2)&amp;"."&amp;RIGHT(K65,3),K65)),verfvoorraad!E:E,verfvoorraad!G:G),"Niet gevonden")))</f>
        <v/>
      </c>
      <c r="Q65" t="str">
        <f t="shared" si="0"/>
        <v/>
      </c>
      <c r="R65" t="str">
        <f t="shared" si="1"/>
        <v/>
      </c>
    </row>
    <row r="66" spans="6:18" x14ac:dyDescent="0.25">
      <c r="F66"/>
      <c r="G66" s="20"/>
      <c r="H66" s="21"/>
      <c r="K66" s="23"/>
      <c r="L66" t="str">
        <f>IF(K66="","",IFERROR(_xlfn.XLOOKUP(K66,verfvoorraad!C:C,verfvoorraad!B:B),IFERROR(_xlfn.XLOOKUP(IF(LEFT(UPPER(K66),4)="REV-","REV-"&amp;VALUE(MID(K66,5,99)),IF(LEN(K66)=5,LEFT(K66,2)&amp;"."&amp;RIGHT(K66,3),K66)),verfvoorraad!E:E,verfvoorraad!B:B),"Niet gevonden")))</f>
        <v/>
      </c>
      <c r="M66" t="str">
        <f>IF(K66="","",IFERROR(_xlfn.XLOOKUP(K66,verfvoorraad!C:C,verfvoorraad!D:D),IFERROR(_xlfn.XLOOKUP(IF(LEFT(UPPER(K66),4)="REV-","REV-"&amp;VALUE(MID(K66,5,99)),IF(LEN(K66)=5,LEFT(K66,2)&amp;"."&amp;RIGHT(K66,3),K66)),verfvoorraad!E:E,verfvoorraad!D:D),"Niet gevonden")))</f>
        <v/>
      </c>
      <c r="N66" t="str">
        <f>IF(K66="","",IFERROR(_xlfn.XLOOKUP(K66,verfvoorraad!C:C,verfvoorraad!E:E),IFERROR(_xlfn.XLOOKUP(IF(LEFT(UPPER(K66),4)="REV-","REV-"&amp;VALUE(MID(K66,5,99)),IF(LEN(K66)=5,LEFT(K66,2)&amp;"."&amp;RIGHT(K66,3),K66)),verfvoorraad!E:E,verfvoorraad!E:E),"Niet gevonden")))</f>
        <v/>
      </c>
      <c r="O66" t="str">
        <f>IF(K66="","",IFERROR(_xlfn.XLOOKUP(K66,verfvoorraad!C:C,verfvoorraad!F:F),IFERROR(_xlfn.XLOOKUP(IF(LEFT(UPPER(K66),4)="REV-","REV-"&amp;VALUE(MID(K66,5,99)),IF(LEN(K66)=5,LEFT(K66,2)&amp;"."&amp;RIGHT(K66,3),K66)),verfvoorraad!E:E,verfvoorraad!F:F),"Niet gevonden")))</f>
        <v/>
      </c>
      <c r="P66" t="str">
        <f>IF(K66="","",IFERROR(_xlfn.XLOOKUP(K66,verfvoorraad!C:C,verfvoorraad!G:G),IFERROR(_xlfn.XLOOKUP(IF(LEFT(UPPER(K66),4)="REV-","REV-"&amp;VALUE(MID(K66,5,99)),IF(LEN(K66)=5,LEFT(K66,2)&amp;"."&amp;RIGHT(K66,3),K66)),verfvoorraad!E:E,verfvoorraad!G:G),"Niet gevonden")))</f>
        <v/>
      </c>
      <c r="Q66" t="str">
        <f t="shared" si="0"/>
        <v/>
      </c>
      <c r="R66" t="str">
        <f t="shared" si="1"/>
        <v/>
      </c>
    </row>
    <row r="67" spans="6:18" x14ac:dyDescent="0.25">
      <c r="F67"/>
      <c r="G67" s="20"/>
      <c r="H67" s="21"/>
      <c r="K67" s="23"/>
      <c r="L67" t="str">
        <f>IF(K67="","",IFERROR(_xlfn.XLOOKUP(K67,verfvoorraad!C:C,verfvoorraad!B:B),IFERROR(_xlfn.XLOOKUP(IF(LEFT(UPPER(K67),4)="REV-","REV-"&amp;VALUE(MID(K67,5,99)),IF(LEN(K67)=5,LEFT(K67,2)&amp;"."&amp;RIGHT(K67,3),K67)),verfvoorraad!E:E,verfvoorraad!B:B),"Niet gevonden")))</f>
        <v/>
      </c>
      <c r="M67" t="str">
        <f>IF(K67="","",IFERROR(_xlfn.XLOOKUP(K67,verfvoorraad!C:C,verfvoorraad!D:D),IFERROR(_xlfn.XLOOKUP(IF(LEFT(UPPER(K67),4)="REV-","REV-"&amp;VALUE(MID(K67,5,99)),IF(LEN(K67)=5,LEFT(K67,2)&amp;"."&amp;RIGHT(K67,3),K67)),verfvoorraad!E:E,verfvoorraad!D:D),"Niet gevonden")))</f>
        <v/>
      </c>
      <c r="N67" t="str">
        <f>IF(K67="","",IFERROR(_xlfn.XLOOKUP(K67,verfvoorraad!C:C,verfvoorraad!E:E),IFERROR(_xlfn.XLOOKUP(IF(LEFT(UPPER(K67),4)="REV-","REV-"&amp;VALUE(MID(K67,5,99)),IF(LEN(K67)=5,LEFT(K67,2)&amp;"."&amp;RIGHT(K67,3),K67)),verfvoorraad!E:E,verfvoorraad!E:E),"Niet gevonden")))</f>
        <v/>
      </c>
      <c r="O67" t="str">
        <f>IF(K67="","",IFERROR(_xlfn.XLOOKUP(K67,verfvoorraad!C:C,verfvoorraad!F:F),IFERROR(_xlfn.XLOOKUP(IF(LEFT(UPPER(K67),4)="REV-","REV-"&amp;VALUE(MID(K67,5,99)),IF(LEN(K67)=5,LEFT(K67,2)&amp;"."&amp;RIGHT(K67,3),K67)),verfvoorraad!E:E,verfvoorraad!F:F),"Niet gevonden")))</f>
        <v/>
      </c>
      <c r="P67" t="str">
        <f>IF(K67="","",IFERROR(_xlfn.XLOOKUP(K67,verfvoorraad!C:C,verfvoorraad!G:G),IFERROR(_xlfn.XLOOKUP(IF(LEFT(UPPER(K67),4)="REV-","REV-"&amp;VALUE(MID(K67,5,99)),IF(LEN(K67)=5,LEFT(K67,2)&amp;"."&amp;RIGHT(K67,3),K67)),verfvoorraad!E:E,verfvoorraad!G:G),"Niet gevonden")))</f>
        <v/>
      </c>
      <c r="Q67" t="str">
        <f t="shared" si="0"/>
        <v/>
      </c>
      <c r="R67" t="str">
        <f t="shared" si="1"/>
        <v/>
      </c>
    </row>
    <row r="68" spans="6:18" x14ac:dyDescent="0.25">
      <c r="F68"/>
      <c r="G68" s="20"/>
      <c r="H68" s="21"/>
      <c r="K68" s="23"/>
      <c r="L68" t="str">
        <f>IF(K68="","",IFERROR(_xlfn.XLOOKUP(K68,verfvoorraad!C:C,verfvoorraad!B:B),IFERROR(_xlfn.XLOOKUP(IF(LEFT(UPPER(K68),4)="REV-","REV-"&amp;VALUE(MID(K68,5,99)),IF(LEN(K68)=5,LEFT(K68,2)&amp;"."&amp;RIGHT(K68,3),K68)),verfvoorraad!E:E,verfvoorraad!B:B),"Niet gevonden")))</f>
        <v/>
      </c>
      <c r="M68" t="str">
        <f>IF(K68="","",IFERROR(_xlfn.XLOOKUP(K68,verfvoorraad!C:C,verfvoorraad!D:D),IFERROR(_xlfn.XLOOKUP(IF(LEFT(UPPER(K68),4)="REV-","REV-"&amp;VALUE(MID(K68,5,99)),IF(LEN(K68)=5,LEFT(K68,2)&amp;"."&amp;RIGHT(K68,3),K68)),verfvoorraad!E:E,verfvoorraad!D:D),"Niet gevonden")))</f>
        <v/>
      </c>
      <c r="N68" t="str">
        <f>IF(K68="","",IFERROR(_xlfn.XLOOKUP(K68,verfvoorraad!C:C,verfvoorraad!E:E),IFERROR(_xlfn.XLOOKUP(IF(LEFT(UPPER(K68),4)="REV-","REV-"&amp;VALUE(MID(K68,5,99)),IF(LEN(K68)=5,LEFT(K68,2)&amp;"."&amp;RIGHT(K68,3),K68)),verfvoorraad!E:E,verfvoorraad!E:E),"Niet gevonden")))</f>
        <v/>
      </c>
      <c r="O68" t="str">
        <f>IF(K68="","",IFERROR(_xlfn.XLOOKUP(K68,verfvoorraad!C:C,verfvoorraad!F:F),IFERROR(_xlfn.XLOOKUP(IF(LEFT(UPPER(K68),4)="REV-","REV-"&amp;VALUE(MID(K68,5,99)),IF(LEN(K68)=5,LEFT(K68,2)&amp;"."&amp;RIGHT(K68,3),K68)),verfvoorraad!E:E,verfvoorraad!F:F),"Niet gevonden")))</f>
        <v/>
      </c>
      <c r="P68" t="str">
        <f>IF(K68="","",IFERROR(_xlfn.XLOOKUP(K68,verfvoorraad!C:C,verfvoorraad!G:G),IFERROR(_xlfn.XLOOKUP(IF(LEFT(UPPER(K68),4)="REV-","REV-"&amp;VALUE(MID(K68,5,99)),IF(LEN(K68)=5,LEFT(K68,2)&amp;"."&amp;RIGHT(K68,3),K68)),verfvoorraad!E:E,verfvoorraad!G:G),"Niet gevonden")))</f>
        <v/>
      </c>
      <c r="Q68" t="str">
        <f t="shared" si="0"/>
        <v/>
      </c>
      <c r="R68" t="str">
        <f t="shared" si="1"/>
        <v/>
      </c>
    </row>
    <row r="69" spans="6:18" x14ac:dyDescent="0.25">
      <c r="F69"/>
      <c r="G69" s="20"/>
      <c r="H69" s="21"/>
      <c r="K69" s="23"/>
      <c r="L69" t="str">
        <f>IF(K69="","",IFERROR(_xlfn.XLOOKUP(K69,verfvoorraad!C:C,verfvoorraad!B:B),IFERROR(_xlfn.XLOOKUP(IF(LEFT(UPPER(K69),4)="REV-","REV-"&amp;VALUE(MID(K69,5,99)),IF(LEN(K69)=5,LEFT(K69,2)&amp;"."&amp;RIGHT(K69,3),K69)),verfvoorraad!E:E,verfvoorraad!B:B),"Niet gevonden")))</f>
        <v/>
      </c>
      <c r="M69" t="str">
        <f>IF(K69="","",IFERROR(_xlfn.XLOOKUP(K69,verfvoorraad!C:C,verfvoorraad!D:D),IFERROR(_xlfn.XLOOKUP(IF(LEFT(UPPER(K69),4)="REV-","REV-"&amp;VALUE(MID(K69,5,99)),IF(LEN(K69)=5,LEFT(K69,2)&amp;"."&amp;RIGHT(K69,3),K69)),verfvoorraad!E:E,verfvoorraad!D:D),"Niet gevonden")))</f>
        <v/>
      </c>
      <c r="N69" t="str">
        <f>IF(K69="","",IFERROR(_xlfn.XLOOKUP(K69,verfvoorraad!C:C,verfvoorraad!E:E),IFERROR(_xlfn.XLOOKUP(IF(LEFT(UPPER(K69),4)="REV-","REV-"&amp;VALUE(MID(K69,5,99)),IF(LEN(K69)=5,LEFT(K69,2)&amp;"."&amp;RIGHT(K69,3),K69)),verfvoorraad!E:E,verfvoorraad!E:E),"Niet gevonden")))</f>
        <v/>
      </c>
      <c r="O69" t="str">
        <f>IF(K69="","",IFERROR(_xlfn.XLOOKUP(K69,verfvoorraad!C:C,verfvoorraad!F:F),IFERROR(_xlfn.XLOOKUP(IF(LEFT(UPPER(K69),4)="REV-","REV-"&amp;VALUE(MID(K69,5,99)),IF(LEN(K69)=5,LEFT(K69,2)&amp;"."&amp;RIGHT(K69,3),K69)),verfvoorraad!E:E,verfvoorraad!F:F),"Niet gevonden")))</f>
        <v/>
      </c>
      <c r="P69" t="str">
        <f>IF(K69="","",IFERROR(_xlfn.XLOOKUP(K69,verfvoorraad!C:C,verfvoorraad!G:G),IFERROR(_xlfn.XLOOKUP(IF(LEFT(UPPER(K69),4)="REV-","REV-"&amp;VALUE(MID(K69,5,99)),IF(LEN(K69)=5,LEFT(K69,2)&amp;"."&amp;RIGHT(K69,3),K69)),verfvoorraad!E:E,verfvoorraad!G:G),"Niet gevonden")))</f>
        <v/>
      </c>
      <c r="Q69" t="str">
        <f t="shared" si="0"/>
        <v/>
      </c>
      <c r="R69" t="str">
        <f t="shared" si="1"/>
        <v/>
      </c>
    </row>
    <row r="70" spans="6:18" x14ac:dyDescent="0.25">
      <c r="F70"/>
      <c r="G70" s="20"/>
      <c r="H70" s="21"/>
      <c r="K70" s="23"/>
      <c r="L70" t="str">
        <f>IF(K70="","",IFERROR(_xlfn.XLOOKUP(K70,verfvoorraad!C:C,verfvoorraad!B:B),IFERROR(_xlfn.XLOOKUP(IF(LEFT(UPPER(K70),4)="REV-","REV-"&amp;VALUE(MID(K70,5,99)),IF(LEN(K70)=5,LEFT(K70,2)&amp;"."&amp;RIGHT(K70,3),K70)),verfvoorraad!E:E,verfvoorraad!B:B),"Niet gevonden")))</f>
        <v/>
      </c>
      <c r="M70" t="str">
        <f>IF(K70="","",IFERROR(_xlfn.XLOOKUP(K70,verfvoorraad!C:C,verfvoorraad!D:D),IFERROR(_xlfn.XLOOKUP(IF(LEFT(UPPER(K70),4)="REV-","REV-"&amp;VALUE(MID(K70,5,99)),IF(LEN(K70)=5,LEFT(K70,2)&amp;"."&amp;RIGHT(K70,3),K70)),verfvoorraad!E:E,verfvoorraad!D:D),"Niet gevonden")))</f>
        <v/>
      </c>
      <c r="N70" t="str">
        <f>IF(K70="","",IFERROR(_xlfn.XLOOKUP(K70,verfvoorraad!C:C,verfvoorraad!E:E),IFERROR(_xlfn.XLOOKUP(IF(LEFT(UPPER(K70),4)="REV-","REV-"&amp;VALUE(MID(K70,5,99)),IF(LEN(K70)=5,LEFT(K70,2)&amp;"."&amp;RIGHT(K70,3),K70)),verfvoorraad!E:E,verfvoorraad!E:E),"Niet gevonden")))</f>
        <v/>
      </c>
      <c r="O70" t="str">
        <f>IF(K70="","",IFERROR(_xlfn.XLOOKUP(K70,verfvoorraad!C:C,verfvoorraad!F:F),IFERROR(_xlfn.XLOOKUP(IF(LEFT(UPPER(K70),4)="REV-","REV-"&amp;VALUE(MID(K70,5,99)),IF(LEN(K70)=5,LEFT(K70,2)&amp;"."&amp;RIGHT(K70,3),K70)),verfvoorraad!E:E,verfvoorraad!F:F),"Niet gevonden")))</f>
        <v/>
      </c>
      <c r="P70" t="str">
        <f>IF(K70="","",IFERROR(_xlfn.XLOOKUP(K70,verfvoorraad!C:C,verfvoorraad!G:G),IFERROR(_xlfn.XLOOKUP(IF(LEFT(UPPER(K70),4)="REV-","REV-"&amp;VALUE(MID(K70,5,99)),IF(LEN(K70)=5,LEFT(K70,2)&amp;"."&amp;RIGHT(K70,3),K70)),verfvoorraad!E:E,verfvoorraad!G:G),"Niet gevonden")))</f>
        <v/>
      </c>
      <c r="Q70" t="str">
        <f t="shared" si="0"/>
        <v/>
      </c>
      <c r="R70" t="str">
        <f t="shared" si="1"/>
        <v/>
      </c>
    </row>
    <row r="71" spans="6:18" x14ac:dyDescent="0.25">
      <c r="F71"/>
      <c r="G71" s="20"/>
      <c r="H71" s="21"/>
      <c r="K71" s="23"/>
      <c r="L71" t="str">
        <f>IF(K71="","",IFERROR(_xlfn.XLOOKUP(K71,verfvoorraad!C:C,verfvoorraad!B:B),IFERROR(_xlfn.XLOOKUP(IF(LEFT(UPPER(K71),4)="REV-","REV-"&amp;VALUE(MID(K71,5,99)),IF(LEN(K71)=5,LEFT(K71,2)&amp;"."&amp;RIGHT(K71,3),K71)),verfvoorraad!E:E,verfvoorraad!B:B),"Niet gevonden")))</f>
        <v/>
      </c>
      <c r="M71" t="str">
        <f>IF(K71="","",IFERROR(_xlfn.XLOOKUP(K71,verfvoorraad!C:C,verfvoorraad!D:D),IFERROR(_xlfn.XLOOKUP(IF(LEFT(UPPER(K71),4)="REV-","REV-"&amp;VALUE(MID(K71,5,99)),IF(LEN(K71)=5,LEFT(K71,2)&amp;"."&amp;RIGHT(K71,3),K71)),verfvoorraad!E:E,verfvoorraad!D:D),"Niet gevonden")))</f>
        <v/>
      </c>
      <c r="N71" t="str">
        <f>IF(K71="","",IFERROR(_xlfn.XLOOKUP(K71,verfvoorraad!C:C,verfvoorraad!E:E),IFERROR(_xlfn.XLOOKUP(IF(LEFT(UPPER(K71),4)="REV-","REV-"&amp;VALUE(MID(K71,5,99)),IF(LEN(K71)=5,LEFT(K71,2)&amp;"."&amp;RIGHT(K71,3),K71)),verfvoorraad!E:E,verfvoorraad!E:E),"Niet gevonden")))</f>
        <v/>
      </c>
      <c r="O71" t="str">
        <f>IF(K71="","",IFERROR(_xlfn.XLOOKUP(K71,verfvoorraad!C:C,verfvoorraad!F:F),IFERROR(_xlfn.XLOOKUP(IF(LEFT(UPPER(K71),4)="REV-","REV-"&amp;VALUE(MID(K71,5,99)),IF(LEN(K71)=5,LEFT(K71,2)&amp;"."&amp;RIGHT(K71,3),K71)),verfvoorraad!E:E,verfvoorraad!F:F),"Niet gevonden")))</f>
        <v/>
      </c>
      <c r="P71" t="str">
        <f>IF(K71="","",IFERROR(_xlfn.XLOOKUP(K71,verfvoorraad!C:C,verfvoorraad!G:G),IFERROR(_xlfn.XLOOKUP(IF(LEFT(UPPER(K71),4)="REV-","REV-"&amp;VALUE(MID(K71,5,99)),IF(LEN(K71)=5,LEFT(K71,2)&amp;"."&amp;RIGHT(K71,3),K71)),verfvoorraad!E:E,verfvoorraad!G:G),"Niet gevonden")))</f>
        <v/>
      </c>
      <c r="Q71" t="str">
        <f t="shared" si="0"/>
        <v/>
      </c>
      <c r="R71" t="str">
        <f t="shared" si="1"/>
        <v/>
      </c>
    </row>
    <row r="72" spans="6:18" x14ac:dyDescent="0.25">
      <c r="F72"/>
      <c r="G72" s="20"/>
      <c r="H72" s="21"/>
      <c r="K72" s="23"/>
      <c r="L72" t="str">
        <f>IF(K72="","",IFERROR(_xlfn.XLOOKUP(K72,verfvoorraad!C:C,verfvoorraad!B:B),IFERROR(_xlfn.XLOOKUP(IF(LEFT(UPPER(K72),4)="REV-","REV-"&amp;VALUE(MID(K72,5,99)),IF(LEN(K72)=5,LEFT(K72,2)&amp;"."&amp;RIGHT(K72,3),K72)),verfvoorraad!E:E,verfvoorraad!B:B),"Niet gevonden")))</f>
        <v/>
      </c>
      <c r="M72" t="str">
        <f>IF(K72="","",IFERROR(_xlfn.XLOOKUP(K72,verfvoorraad!C:C,verfvoorraad!D:D),IFERROR(_xlfn.XLOOKUP(IF(LEFT(UPPER(K72),4)="REV-","REV-"&amp;VALUE(MID(K72,5,99)),IF(LEN(K72)=5,LEFT(K72,2)&amp;"."&amp;RIGHT(K72,3),K72)),verfvoorraad!E:E,verfvoorraad!D:D),"Niet gevonden")))</f>
        <v/>
      </c>
      <c r="N72" t="str">
        <f>IF(K72="","",IFERROR(_xlfn.XLOOKUP(K72,verfvoorraad!C:C,verfvoorraad!E:E),IFERROR(_xlfn.XLOOKUP(IF(LEFT(UPPER(K72),4)="REV-","REV-"&amp;VALUE(MID(K72,5,99)),IF(LEN(K72)=5,LEFT(K72,2)&amp;"."&amp;RIGHT(K72,3),K72)),verfvoorraad!E:E,verfvoorraad!E:E),"Niet gevonden")))</f>
        <v/>
      </c>
      <c r="O72" t="str">
        <f>IF(K72="","",IFERROR(_xlfn.XLOOKUP(K72,verfvoorraad!C:C,verfvoorraad!F:F),IFERROR(_xlfn.XLOOKUP(IF(LEFT(UPPER(K72),4)="REV-","REV-"&amp;VALUE(MID(K72,5,99)),IF(LEN(K72)=5,LEFT(K72,2)&amp;"."&amp;RIGHT(K72,3),K72)),verfvoorraad!E:E,verfvoorraad!F:F),"Niet gevonden")))</f>
        <v/>
      </c>
      <c r="P72" t="str">
        <f>IF(K72="","",IFERROR(_xlfn.XLOOKUP(K72,verfvoorraad!C:C,verfvoorraad!G:G),IFERROR(_xlfn.XLOOKUP(IF(LEFT(UPPER(K72),4)="REV-","REV-"&amp;VALUE(MID(K72,5,99)),IF(LEN(K72)=5,LEFT(K72,2)&amp;"."&amp;RIGHT(K72,3),K72)),verfvoorraad!E:E,verfvoorraad!G:G),"Niet gevonden")))</f>
        <v/>
      </c>
      <c r="Q72" t="str">
        <f t="shared" si="0"/>
        <v/>
      </c>
      <c r="R72" t="str">
        <f t="shared" si="1"/>
        <v/>
      </c>
    </row>
    <row r="73" spans="6:18" x14ac:dyDescent="0.25">
      <c r="F73"/>
      <c r="G73" s="20"/>
      <c r="H73" s="21"/>
      <c r="K73" s="23"/>
      <c r="L73" t="str">
        <f>IF(K73="","",IFERROR(_xlfn.XLOOKUP(K73,verfvoorraad!C:C,verfvoorraad!B:B),IFERROR(_xlfn.XLOOKUP(IF(LEFT(UPPER(K73),4)="REV-","REV-"&amp;VALUE(MID(K73,5,99)),IF(LEN(K73)=5,LEFT(K73,2)&amp;"."&amp;RIGHT(K73,3),K73)),verfvoorraad!E:E,verfvoorraad!B:B),"Niet gevonden")))</f>
        <v/>
      </c>
      <c r="M73" t="str">
        <f>IF(K73="","",IFERROR(_xlfn.XLOOKUP(K73,verfvoorraad!C:C,verfvoorraad!D:D),IFERROR(_xlfn.XLOOKUP(IF(LEFT(UPPER(K73),4)="REV-","REV-"&amp;VALUE(MID(K73,5,99)),IF(LEN(K73)=5,LEFT(K73,2)&amp;"."&amp;RIGHT(K73,3),K73)),verfvoorraad!E:E,verfvoorraad!D:D),"Niet gevonden")))</f>
        <v/>
      </c>
      <c r="N73" t="str">
        <f>IF(K73="","",IFERROR(_xlfn.XLOOKUP(K73,verfvoorraad!C:C,verfvoorraad!E:E),IFERROR(_xlfn.XLOOKUP(IF(LEFT(UPPER(K73),4)="REV-","REV-"&amp;VALUE(MID(K73,5,99)),IF(LEN(K73)=5,LEFT(K73,2)&amp;"."&amp;RIGHT(K73,3),K73)),verfvoorraad!E:E,verfvoorraad!E:E),"Niet gevonden")))</f>
        <v/>
      </c>
      <c r="O73" t="str">
        <f>IF(K73="","",IFERROR(_xlfn.XLOOKUP(K73,verfvoorraad!C:C,verfvoorraad!F:F),IFERROR(_xlfn.XLOOKUP(IF(LEFT(UPPER(K73),4)="REV-","REV-"&amp;VALUE(MID(K73,5,99)),IF(LEN(K73)=5,LEFT(K73,2)&amp;"."&amp;RIGHT(K73,3),K73)),verfvoorraad!E:E,verfvoorraad!F:F),"Niet gevonden")))</f>
        <v/>
      </c>
      <c r="P73" t="str">
        <f>IF(K73="","",IFERROR(_xlfn.XLOOKUP(K73,verfvoorraad!C:C,verfvoorraad!G:G),IFERROR(_xlfn.XLOOKUP(IF(LEFT(UPPER(K73),4)="REV-","REV-"&amp;VALUE(MID(K73,5,99)),IF(LEN(K73)=5,LEFT(K73,2)&amp;"."&amp;RIGHT(K73,3),K73)),verfvoorraad!E:E,verfvoorraad!G:G),"Niet gevonden")))</f>
        <v/>
      </c>
      <c r="Q73" t="str">
        <f t="shared" si="0"/>
        <v/>
      </c>
      <c r="R73" t="str">
        <f t="shared" si="1"/>
        <v/>
      </c>
    </row>
    <row r="74" spans="6:18" x14ac:dyDescent="0.25">
      <c r="F74"/>
      <c r="G74" s="20"/>
      <c r="H74" s="21"/>
      <c r="K74" s="23"/>
      <c r="L74" t="str">
        <f>IF(K74="","",IFERROR(_xlfn.XLOOKUP(K74,verfvoorraad!C:C,verfvoorraad!B:B),IFERROR(_xlfn.XLOOKUP(IF(LEFT(UPPER(K74),4)="REV-","REV-"&amp;VALUE(MID(K74,5,99)),IF(LEN(K74)=5,LEFT(K74,2)&amp;"."&amp;RIGHT(K74,3),K74)),verfvoorraad!E:E,verfvoorraad!B:B),"Niet gevonden")))</f>
        <v/>
      </c>
      <c r="M74" t="str">
        <f>IF(K74="","",IFERROR(_xlfn.XLOOKUP(K74,verfvoorraad!C:C,verfvoorraad!D:D),IFERROR(_xlfn.XLOOKUP(IF(LEFT(UPPER(K74),4)="REV-","REV-"&amp;VALUE(MID(K74,5,99)),IF(LEN(K74)=5,LEFT(K74,2)&amp;"."&amp;RIGHT(K74,3),K74)),verfvoorraad!E:E,verfvoorraad!D:D),"Niet gevonden")))</f>
        <v/>
      </c>
      <c r="N74" t="str">
        <f>IF(K74="","",IFERROR(_xlfn.XLOOKUP(K74,verfvoorraad!C:C,verfvoorraad!E:E),IFERROR(_xlfn.XLOOKUP(IF(LEFT(UPPER(K74),4)="REV-","REV-"&amp;VALUE(MID(K74,5,99)),IF(LEN(K74)=5,LEFT(K74,2)&amp;"."&amp;RIGHT(K74,3),K74)),verfvoorraad!E:E,verfvoorraad!E:E),"Niet gevonden")))</f>
        <v/>
      </c>
      <c r="O74" t="str">
        <f>IF(K74="","",IFERROR(_xlfn.XLOOKUP(K74,verfvoorraad!C:C,verfvoorraad!F:F),IFERROR(_xlfn.XLOOKUP(IF(LEFT(UPPER(K74),4)="REV-","REV-"&amp;VALUE(MID(K74,5,99)),IF(LEN(K74)=5,LEFT(K74,2)&amp;"."&amp;RIGHT(K74,3),K74)),verfvoorraad!E:E,verfvoorraad!F:F),"Niet gevonden")))</f>
        <v/>
      </c>
      <c r="P74" t="str">
        <f>IF(K74="","",IFERROR(_xlfn.XLOOKUP(K74,verfvoorraad!C:C,verfvoorraad!G:G),IFERROR(_xlfn.XLOOKUP(IF(LEFT(UPPER(K74),4)="REV-","REV-"&amp;VALUE(MID(K74,5,99)),IF(LEN(K74)=5,LEFT(K74,2)&amp;"."&amp;RIGHT(K74,3),K74)),verfvoorraad!E:E,verfvoorraad!G:G),"Niet gevonden")))</f>
        <v/>
      </c>
      <c r="Q74" t="str">
        <f t="shared" si="0"/>
        <v/>
      </c>
      <c r="R74" t="str">
        <f t="shared" si="1"/>
        <v/>
      </c>
    </row>
    <row r="75" spans="6:18" x14ac:dyDescent="0.25">
      <c r="F75"/>
      <c r="G75" s="20"/>
      <c r="H75" s="21"/>
      <c r="K75" s="23"/>
      <c r="L75" t="str">
        <f>IF(K75="","",IFERROR(_xlfn.XLOOKUP(K75,verfvoorraad!C:C,verfvoorraad!B:B),IFERROR(_xlfn.XLOOKUP(IF(LEFT(UPPER(K75),4)="REV-","REV-"&amp;VALUE(MID(K75,5,99)),IF(LEN(K75)=5,LEFT(K75,2)&amp;"."&amp;RIGHT(K75,3),K75)),verfvoorraad!E:E,verfvoorraad!B:B),"Niet gevonden")))</f>
        <v/>
      </c>
      <c r="M75" t="str">
        <f>IF(K75="","",IFERROR(_xlfn.XLOOKUP(K75,verfvoorraad!C:C,verfvoorraad!D:D),IFERROR(_xlfn.XLOOKUP(IF(LEFT(UPPER(K75),4)="REV-","REV-"&amp;VALUE(MID(K75,5,99)),IF(LEN(K75)=5,LEFT(K75,2)&amp;"."&amp;RIGHT(K75,3),K75)),verfvoorraad!E:E,verfvoorraad!D:D),"Niet gevonden")))</f>
        <v/>
      </c>
      <c r="N75" t="str">
        <f>IF(K75="","",IFERROR(_xlfn.XLOOKUP(K75,verfvoorraad!C:C,verfvoorraad!E:E),IFERROR(_xlfn.XLOOKUP(IF(LEFT(UPPER(K75),4)="REV-","REV-"&amp;VALUE(MID(K75,5,99)),IF(LEN(K75)=5,LEFT(K75,2)&amp;"."&amp;RIGHT(K75,3),K75)),verfvoorraad!E:E,verfvoorraad!E:E),"Niet gevonden")))</f>
        <v/>
      </c>
      <c r="O75" t="str">
        <f>IF(K75="","",IFERROR(_xlfn.XLOOKUP(K75,verfvoorraad!C:C,verfvoorraad!F:F),IFERROR(_xlfn.XLOOKUP(IF(LEFT(UPPER(K75),4)="REV-","REV-"&amp;VALUE(MID(K75,5,99)),IF(LEN(K75)=5,LEFT(K75,2)&amp;"."&amp;RIGHT(K75,3),K75)),verfvoorraad!E:E,verfvoorraad!F:F),"Niet gevonden")))</f>
        <v/>
      </c>
      <c r="P75" t="str">
        <f>IF(K75="","",IFERROR(_xlfn.XLOOKUP(K75,verfvoorraad!C:C,verfvoorraad!G:G),IFERROR(_xlfn.XLOOKUP(IF(LEFT(UPPER(K75),4)="REV-","REV-"&amp;VALUE(MID(K75,5,99)),IF(LEN(K75)=5,LEFT(K75,2)&amp;"."&amp;RIGHT(K75,3),K75)),verfvoorraad!E:E,verfvoorraad!G:G),"Niet gevonden")))</f>
        <v/>
      </c>
      <c r="Q75" t="str">
        <f t="shared" si="0"/>
        <v/>
      </c>
      <c r="R75" t="str">
        <f t="shared" si="1"/>
        <v/>
      </c>
    </row>
    <row r="76" spans="6:18" x14ac:dyDescent="0.25">
      <c r="F76"/>
      <c r="G76" s="20"/>
      <c r="H76" s="21"/>
      <c r="K76" s="23"/>
      <c r="L76" t="str">
        <f>IF(K76="","",IFERROR(_xlfn.XLOOKUP(K76,verfvoorraad!C:C,verfvoorraad!B:B),IFERROR(_xlfn.XLOOKUP(IF(LEFT(UPPER(K76),4)="REV-","REV-"&amp;VALUE(MID(K76,5,99)),IF(LEN(K76)=5,LEFT(K76,2)&amp;"."&amp;RIGHT(K76,3),K76)),verfvoorraad!E:E,verfvoorraad!B:B),"Niet gevonden")))</f>
        <v/>
      </c>
      <c r="M76" t="str">
        <f>IF(K76="","",IFERROR(_xlfn.XLOOKUP(K76,verfvoorraad!C:C,verfvoorraad!D:D),IFERROR(_xlfn.XLOOKUP(IF(LEFT(UPPER(K76),4)="REV-","REV-"&amp;VALUE(MID(K76,5,99)),IF(LEN(K76)=5,LEFT(K76,2)&amp;"."&amp;RIGHT(K76,3),K76)),verfvoorraad!E:E,verfvoorraad!D:D),"Niet gevonden")))</f>
        <v/>
      </c>
      <c r="N76" t="str">
        <f>IF(K76="","",IFERROR(_xlfn.XLOOKUP(K76,verfvoorraad!C:C,verfvoorraad!E:E),IFERROR(_xlfn.XLOOKUP(IF(LEFT(UPPER(K76),4)="REV-","REV-"&amp;VALUE(MID(K76,5,99)),IF(LEN(K76)=5,LEFT(K76,2)&amp;"."&amp;RIGHT(K76,3),K76)),verfvoorraad!E:E,verfvoorraad!E:E),"Niet gevonden")))</f>
        <v/>
      </c>
      <c r="O76" t="str">
        <f>IF(K76="","",IFERROR(_xlfn.XLOOKUP(K76,verfvoorraad!C:C,verfvoorraad!F:F),IFERROR(_xlfn.XLOOKUP(IF(LEFT(UPPER(K76),4)="REV-","REV-"&amp;VALUE(MID(K76,5,99)),IF(LEN(K76)=5,LEFT(K76,2)&amp;"."&amp;RIGHT(K76,3),K76)),verfvoorraad!E:E,verfvoorraad!F:F),"Niet gevonden")))</f>
        <v/>
      </c>
      <c r="P76" t="str">
        <f>IF(K76="","",IFERROR(_xlfn.XLOOKUP(K76,verfvoorraad!C:C,verfvoorraad!G:G),IFERROR(_xlfn.XLOOKUP(IF(LEFT(UPPER(K76),4)="REV-","REV-"&amp;VALUE(MID(K76,5,99)),IF(LEN(K76)=5,LEFT(K76,2)&amp;"."&amp;RIGHT(K76,3),K76)),verfvoorraad!E:E,verfvoorraad!G:G),"Niet gevonden")))</f>
        <v/>
      </c>
      <c r="Q76" t="str">
        <f t="shared" si="0"/>
        <v/>
      </c>
      <c r="R76" t="str">
        <f t="shared" si="1"/>
        <v/>
      </c>
    </row>
    <row r="77" spans="6:18" x14ac:dyDescent="0.25">
      <c r="F77"/>
      <c r="G77" s="20"/>
      <c r="H77" s="21"/>
      <c r="K77" s="23"/>
      <c r="L77" t="str">
        <f>IF(K77="","",IFERROR(_xlfn.XLOOKUP(K77,verfvoorraad!C:C,verfvoorraad!B:B),IFERROR(_xlfn.XLOOKUP(IF(LEFT(UPPER(K77),4)="REV-","REV-"&amp;VALUE(MID(K77,5,99)),IF(LEN(K77)=5,LEFT(K77,2)&amp;"."&amp;RIGHT(K77,3),K77)),verfvoorraad!E:E,verfvoorraad!B:B),"Niet gevonden")))</f>
        <v/>
      </c>
      <c r="M77" t="str">
        <f>IF(K77="","",IFERROR(_xlfn.XLOOKUP(K77,verfvoorraad!C:C,verfvoorraad!D:D),IFERROR(_xlfn.XLOOKUP(IF(LEFT(UPPER(K77),4)="REV-","REV-"&amp;VALUE(MID(K77,5,99)),IF(LEN(K77)=5,LEFT(K77,2)&amp;"."&amp;RIGHT(K77,3),K77)),verfvoorraad!E:E,verfvoorraad!D:D),"Niet gevonden")))</f>
        <v/>
      </c>
      <c r="N77" t="str">
        <f>IF(K77="","",IFERROR(_xlfn.XLOOKUP(K77,verfvoorraad!C:C,verfvoorraad!E:E),IFERROR(_xlfn.XLOOKUP(IF(LEFT(UPPER(K77),4)="REV-","REV-"&amp;VALUE(MID(K77,5,99)),IF(LEN(K77)=5,LEFT(K77,2)&amp;"."&amp;RIGHT(K77,3),K77)),verfvoorraad!E:E,verfvoorraad!E:E),"Niet gevonden")))</f>
        <v/>
      </c>
      <c r="O77" t="str">
        <f>IF(K77="","",IFERROR(_xlfn.XLOOKUP(K77,verfvoorraad!C:C,verfvoorraad!F:F),IFERROR(_xlfn.XLOOKUP(IF(LEFT(UPPER(K77),4)="REV-","REV-"&amp;VALUE(MID(K77,5,99)),IF(LEN(K77)=5,LEFT(K77,2)&amp;"."&amp;RIGHT(K77,3),K77)),verfvoorraad!E:E,verfvoorraad!F:F),"Niet gevonden")))</f>
        <v/>
      </c>
      <c r="P77" t="str">
        <f>IF(K77="","",IFERROR(_xlfn.XLOOKUP(K77,verfvoorraad!C:C,verfvoorraad!G:G),IFERROR(_xlfn.XLOOKUP(IF(LEFT(UPPER(K77),4)="REV-","REV-"&amp;VALUE(MID(K77,5,99)),IF(LEN(K77)=5,LEFT(K77,2)&amp;"."&amp;RIGHT(K77,3),K77)),verfvoorraad!E:E,verfvoorraad!G:G),"Niet gevonden")))</f>
        <v/>
      </c>
      <c r="Q77" t="str">
        <f t="shared" si="0"/>
        <v/>
      </c>
      <c r="R77" t="str">
        <f t="shared" si="1"/>
        <v/>
      </c>
    </row>
    <row r="78" spans="6:18" x14ac:dyDescent="0.25">
      <c r="F78"/>
      <c r="G78" s="20"/>
      <c r="H78" s="21"/>
      <c r="K78" s="23"/>
      <c r="L78" t="str">
        <f>IF(K78="","",IFERROR(_xlfn.XLOOKUP(K78,verfvoorraad!C:C,verfvoorraad!B:B),IFERROR(_xlfn.XLOOKUP(IF(LEFT(UPPER(K78),4)="REV-","REV-"&amp;VALUE(MID(K78,5,99)),IF(LEN(K78)=5,LEFT(K78,2)&amp;"."&amp;RIGHT(K78,3),K78)),verfvoorraad!E:E,verfvoorraad!B:B),"Niet gevonden")))</f>
        <v/>
      </c>
      <c r="M78" t="str">
        <f>IF(K78="","",IFERROR(_xlfn.XLOOKUP(K78,verfvoorraad!C:C,verfvoorraad!D:D),IFERROR(_xlfn.XLOOKUP(IF(LEFT(UPPER(K78),4)="REV-","REV-"&amp;VALUE(MID(K78,5,99)),IF(LEN(K78)=5,LEFT(K78,2)&amp;"."&amp;RIGHT(K78,3),K78)),verfvoorraad!E:E,verfvoorraad!D:D),"Niet gevonden")))</f>
        <v/>
      </c>
      <c r="N78" t="str">
        <f>IF(K78="","",IFERROR(_xlfn.XLOOKUP(K78,verfvoorraad!C:C,verfvoorraad!E:E),IFERROR(_xlfn.XLOOKUP(IF(LEFT(UPPER(K78),4)="REV-","REV-"&amp;VALUE(MID(K78,5,99)),IF(LEN(K78)=5,LEFT(K78,2)&amp;"."&amp;RIGHT(K78,3),K78)),verfvoorraad!E:E,verfvoorraad!E:E),"Niet gevonden")))</f>
        <v/>
      </c>
      <c r="O78" t="str">
        <f>IF(K78="","",IFERROR(_xlfn.XLOOKUP(K78,verfvoorraad!C:C,verfvoorraad!F:F),IFERROR(_xlfn.XLOOKUP(IF(LEFT(UPPER(K78),4)="REV-","REV-"&amp;VALUE(MID(K78,5,99)),IF(LEN(K78)=5,LEFT(K78,2)&amp;"."&amp;RIGHT(K78,3),K78)),verfvoorraad!E:E,verfvoorraad!F:F),"Niet gevonden")))</f>
        <v/>
      </c>
      <c r="P78" t="str">
        <f>IF(K78="","",IFERROR(_xlfn.XLOOKUP(K78,verfvoorraad!C:C,verfvoorraad!G:G),IFERROR(_xlfn.XLOOKUP(IF(LEFT(UPPER(K78),4)="REV-","REV-"&amp;VALUE(MID(K78,5,99)),IF(LEN(K78)=5,LEFT(K78,2)&amp;"."&amp;RIGHT(K78,3),K78)),verfvoorraad!E:E,verfvoorraad!G:G),"Niet gevonden")))</f>
        <v/>
      </c>
      <c r="Q78" t="str">
        <f t="shared" si="0"/>
        <v/>
      </c>
      <c r="R78" t="str">
        <f t="shared" si="1"/>
        <v/>
      </c>
    </row>
    <row r="79" spans="6:18" x14ac:dyDescent="0.25">
      <c r="F79"/>
      <c r="G79" s="20"/>
      <c r="H79" s="21"/>
      <c r="K79" s="23"/>
      <c r="L79" t="str">
        <f>IF(K79="","",IFERROR(_xlfn.XLOOKUP(K79,verfvoorraad!C:C,verfvoorraad!B:B),IFERROR(_xlfn.XLOOKUP(IF(LEFT(UPPER(K79),4)="REV-","REV-"&amp;VALUE(MID(K79,5,99)),IF(LEN(K79)=5,LEFT(K79,2)&amp;"."&amp;RIGHT(K79,3),K79)),verfvoorraad!E:E,verfvoorraad!B:B),"Niet gevonden")))</f>
        <v/>
      </c>
      <c r="M79" t="str">
        <f>IF(K79="","",IFERROR(_xlfn.XLOOKUP(K79,verfvoorraad!C:C,verfvoorraad!D:D),IFERROR(_xlfn.XLOOKUP(IF(LEFT(UPPER(K79),4)="REV-","REV-"&amp;VALUE(MID(K79,5,99)),IF(LEN(K79)=5,LEFT(K79,2)&amp;"."&amp;RIGHT(K79,3),K79)),verfvoorraad!E:E,verfvoorraad!D:D),"Niet gevonden")))</f>
        <v/>
      </c>
      <c r="N79" t="str">
        <f>IF(K79="","",IFERROR(_xlfn.XLOOKUP(K79,verfvoorraad!C:C,verfvoorraad!E:E),IFERROR(_xlfn.XLOOKUP(IF(LEFT(UPPER(K79),4)="REV-","REV-"&amp;VALUE(MID(K79,5,99)),IF(LEN(K79)=5,LEFT(K79,2)&amp;"."&amp;RIGHT(K79,3),K79)),verfvoorraad!E:E,verfvoorraad!E:E),"Niet gevonden")))</f>
        <v/>
      </c>
      <c r="O79" t="str">
        <f>IF(K79="","",IFERROR(_xlfn.XLOOKUP(K79,verfvoorraad!C:C,verfvoorraad!F:F),IFERROR(_xlfn.XLOOKUP(IF(LEFT(UPPER(K79),4)="REV-","REV-"&amp;VALUE(MID(K79,5,99)),IF(LEN(K79)=5,LEFT(K79,2)&amp;"."&amp;RIGHT(K79,3),K79)),verfvoorraad!E:E,verfvoorraad!F:F),"Niet gevonden")))</f>
        <v/>
      </c>
      <c r="P79" t="str">
        <f>IF(K79="","",IFERROR(_xlfn.XLOOKUP(K79,verfvoorraad!C:C,verfvoorraad!G:G),IFERROR(_xlfn.XLOOKUP(IF(LEFT(UPPER(K79),4)="REV-","REV-"&amp;VALUE(MID(K79,5,99)),IF(LEN(K79)=5,LEFT(K79,2)&amp;"."&amp;RIGHT(K79,3),K79)),verfvoorraad!E:E,verfvoorraad!G:G),"Niet gevonden")))</f>
        <v/>
      </c>
      <c r="Q79" t="str">
        <f t="shared" si="0"/>
        <v/>
      </c>
      <c r="R79" t="str">
        <f t="shared" si="1"/>
        <v/>
      </c>
    </row>
    <row r="80" spans="6:18" x14ac:dyDescent="0.25">
      <c r="F80"/>
      <c r="G80" s="20"/>
      <c r="H80" s="21"/>
      <c r="K80" s="23"/>
      <c r="L80" t="str">
        <f>IF(K80="","",IFERROR(_xlfn.XLOOKUP(K80,verfvoorraad!C:C,verfvoorraad!B:B),IFERROR(_xlfn.XLOOKUP(IF(LEFT(UPPER(K80),4)="REV-","REV-"&amp;VALUE(MID(K80,5,99)),IF(LEN(K80)=5,LEFT(K80,2)&amp;"."&amp;RIGHT(K80,3),K80)),verfvoorraad!E:E,verfvoorraad!B:B),"Niet gevonden")))</f>
        <v/>
      </c>
      <c r="M80" t="str">
        <f>IF(K80="","",IFERROR(_xlfn.XLOOKUP(K80,verfvoorraad!C:C,verfvoorraad!D:D),IFERROR(_xlfn.XLOOKUP(IF(LEFT(UPPER(K80),4)="REV-","REV-"&amp;VALUE(MID(K80,5,99)),IF(LEN(K80)=5,LEFT(K80,2)&amp;"."&amp;RIGHT(K80,3),K80)),verfvoorraad!E:E,verfvoorraad!D:D),"Niet gevonden")))</f>
        <v/>
      </c>
      <c r="N80" t="str">
        <f>IF(K80="","",IFERROR(_xlfn.XLOOKUP(K80,verfvoorraad!C:C,verfvoorraad!E:E),IFERROR(_xlfn.XLOOKUP(IF(LEFT(UPPER(K80),4)="REV-","REV-"&amp;VALUE(MID(K80,5,99)),IF(LEN(K80)=5,LEFT(K80,2)&amp;"."&amp;RIGHT(K80,3),K80)),verfvoorraad!E:E,verfvoorraad!E:E),"Niet gevonden")))</f>
        <v/>
      </c>
      <c r="O80" t="str">
        <f>IF(K80="","",IFERROR(_xlfn.XLOOKUP(K80,verfvoorraad!C:C,verfvoorraad!F:F),IFERROR(_xlfn.XLOOKUP(IF(LEFT(UPPER(K80),4)="REV-","REV-"&amp;VALUE(MID(K80,5,99)),IF(LEN(K80)=5,LEFT(K80,2)&amp;"."&amp;RIGHT(K80,3),K80)),verfvoorraad!E:E,verfvoorraad!F:F),"Niet gevonden")))</f>
        <v/>
      </c>
      <c r="P80" t="str">
        <f>IF(K80="","",IFERROR(_xlfn.XLOOKUP(K80,verfvoorraad!C:C,verfvoorraad!G:G),IFERROR(_xlfn.XLOOKUP(IF(LEFT(UPPER(K80),4)="REV-","REV-"&amp;VALUE(MID(K80,5,99)),IF(LEN(K80)=5,LEFT(K80,2)&amp;"."&amp;RIGHT(K80,3),K80)),verfvoorraad!E:E,verfvoorraad!G:G),"Niet gevonden")))</f>
        <v/>
      </c>
      <c r="Q80" t="str">
        <f t="shared" si="0"/>
        <v/>
      </c>
      <c r="R80" t="str">
        <f t="shared" si="1"/>
        <v/>
      </c>
    </row>
    <row r="81" spans="6:18" x14ac:dyDescent="0.25">
      <c r="F81"/>
      <c r="G81" s="20"/>
      <c r="H81" s="21"/>
      <c r="K81" s="23"/>
      <c r="L81" t="str">
        <f>IF(K81="","",IFERROR(_xlfn.XLOOKUP(K81,verfvoorraad!C:C,verfvoorraad!B:B),IFERROR(_xlfn.XLOOKUP(IF(LEFT(UPPER(K81),4)="REV-","REV-"&amp;VALUE(MID(K81,5,99)),IF(LEN(K81)=5,LEFT(K81,2)&amp;"."&amp;RIGHT(K81,3),K81)),verfvoorraad!E:E,verfvoorraad!B:B),"Niet gevonden")))</f>
        <v/>
      </c>
      <c r="M81" t="str">
        <f>IF(K81="","",IFERROR(_xlfn.XLOOKUP(K81,verfvoorraad!C:C,verfvoorraad!D:D),IFERROR(_xlfn.XLOOKUP(IF(LEFT(UPPER(K81),4)="REV-","REV-"&amp;VALUE(MID(K81,5,99)),IF(LEN(K81)=5,LEFT(K81,2)&amp;"."&amp;RIGHT(K81,3),K81)),verfvoorraad!E:E,verfvoorraad!D:D),"Niet gevonden")))</f>
        <v/>
      </c>
      <c r="N81" t="str">
        <f>IF(K81="","",IFERROR(_xlfn.XLOOKUP(K81,verfvoorraad!C:C,verfvoorraad!E:E),IFERROR(_xlfn.XLOOKUP(IF(LEFT(UPPER(K81),4)="REV-","REV-"&amp;VALUE(MID(K81,5,99)),IF(LEN(K81)=5,LEFT(K81,2)&amp;"."&amp;RIGHT(K81,3),K81)),verfvoorraad!E:E,verfvoorraad!E:E),"Niet gevonden")))</f>
        <v/>
      </c>
      <c r="O81" t="str">
        <f>IF(K81="","",IFERROR(_xlfn.XLOOKUP(K81,verfvoorraad!C:C,verfvoorraad!F:F),IFERROR(_xlfn.XLOOKUP(IF(LEFT(UPPER(K81),4)="REV-","REV-"&amp;VALUE(MID(K81,5,99)),IF(LEN(K81)=5,LEFT(K81,2)&amp;"."&amp;RIGHT(K81,3),K81)),verfvoorraad!E:E,verfvoorraad!F:F),"Niet gevonden")))</f>
        <v/>
      </c>
      <c r="P81" t="str">
        <f>IF(K81="","",IFERROR(_xlfn.XLOOKUP(K81,verfvoorraad!C:C,verfvoorraad!G:G),IFERROR(_xlfn.XLOOKUP(IF(LEFT(UPPER(K81),4)="REV-","REV-"&amp;VALUE(MID(K81,5,99)),IF(LEN(K81)=5,LEFT(K81,2)&amp;"."&amp;RIGHT(K81,3),K81)),verfvoorraad!E:E,verfvoorraad!G:G),"Niet gevonden")))</f>
        <v/>
      </c>
      <c r="Q81" t="str">
        <f t="shared" si="0"/>
        <v/>
      </c>
      <c r="R81" t="str">
        <f t="shared" si="1"/>
        <v/>
      </c>
    </row>
    <row r="82" spans="6:18" x14ac:dyDescent="0.25">
      <c r="F82"/>
      <c r="G82" s="20"/>
      <c r="H82" s="21"/>
      <c r="K82" s="23"/>
      <c r="L82" t="str">
        <f>IF(K82="","",IFERROR(_xlfn.XLOOKUP(K82,verfvoorraad!C:C,verfvoorraad!B:B),IFERROR(_xlfn.XLOOKUP(IF(LEFT(UPPER(K82),4)="REV-","REV-"&amp;VALUE(MID(K82,5,99)),IF(LEN(K82)=5,LEFT(K82,2)&amp;"."&amp;RIGHT(K82,3),K82)),verfvoorraad!E:E,verfvoorraad!B:B),"Niet gevonden")))</f>
        <v/>
      </c>
      <c r="M82" t="str">
        <f>IF(K82="","",IFERROR(_xlfn.XLOOKUP(K82,verfvoorraad!C:C,verfvoorraad!D:D),IFERROR(_xlfn.XLOOKUP(IF(LEFT(UPPER(K82),4)="REV-","REV-"&amp;VALUE(MID(K82,5,99)),IF(LEN(K82)=5,LEFT(K82,2)&amp;"."&amp;RIGHT(K82,3),K82)),verfvoorraad!E:E,verfvoorraad!D:D),"Niet gevonden")))</f>
        <v/>
      </c>
      <c r="N82" t="str">
        <f>IF(K82="","",IFERROR(_xlfn.XLOOKUP(K82,verfvoorraad!C:C,verfvoorraad!E:E),IFERROR(_xlfn.XLOOKUP(IF(LEFT(UPPER(K82),4)="REV-","REV-"&amp;VALUE(MID(K82,5,99)),IF(LEN(K82)=5,LEFT(K82,2)&amp;"."&amp;RIGHT(K82,3),K82)),verfvoorraad!E:E,verfvoorraad!E:E),"Niet gevonden")))</f>
        <v/>
      </c>
      <c r="O82" t="str">
        <f>IF(K82="","",IFERROR(_xlfn.XLOOKUP(K82,verfvoorraad!C:C,verfvoorraad!F:F),IFERROR(_xlfn.XLOOKUP(IF(LEFT(UPPER(K82),4)="REV-","REV-"&amp;VALUE(MID(K82,5,99)),IF(LEN(K82)=5,LEFT(K82,2)&amp;"."&amp;RIGHT(K82,3),K82)),verfvoorraad!E:E,verfvoorraad!F:F),"Niet gevonden")))</f>
        <v/>
      </c>
      <c r="P82" t="str">
        <f>IF(K82="","",IFERROR(_xlfn.XLOOKUP(K82,verfvoorraad!C:C,verfvoorraad!G:G),IFERROR(_xlfn.XLOOKUP(IF(LEFT(UPPER(K82),4)="REV-","REV-"&amp;VALUE(MID(K82,5,99)),IF(LEN(K82)=5,LEFT(K82,2)&amp;"."&amp;RIGHT(K82,3),K82)),verfvoorraad!E:E,verfvoorraad!G:G),"Niet gevonden")))</f>
        <v/>
      </c>
      <c r="Q82" t="str">
        <f t="shared" si="0"/>
        <v/>
      </c>
      <c r="R82" t="str">
        <f t="shared" si="1"/>
        <v/>
      </c>
    </row>
    <row r="83" spans="6:18" x14ac:dyDescent="0.25">
      <c r="F83"/>
      <c r="G83" s="20"/>
      <c r="H83" s="21"/>
      <c r="K83" s="23"/>
      <c r="L83" t="str">
        <f>IF(K83="","",IFERROR(_xlfn.XLOOKUP(K83,verfvoorraad!C:C,verfvoorraad!B:B),IFERROR(_xlfn.XLOOKUP(IF(LEFT(UPPER(K83),4)="REV-","REV-"&amp;VALUE(MID(K83,5,99)),IF(LEN(K83)=5,LEFT(K83,2)&amp;"."&amp;RIGHT(K83,3),K83)),verfvoorraad!E:E,verfvoorraad!B:B),"Niet gevonden")))</f>
        <v/>
      </c>
      <c r="M83" t="str">
        <f>IF(K83="","",IFERROR(_xlfn.XLOOKUP(K83,verfvoorraad!C:C,verfvoorraad!D:D),IFERROR(_xlfn.XLOOKUP(IF(LEFT(UPPER(K83),4)="REV-","REV-"&amp;VALUE(MID(K83,5,99)),IF(LEN(K83)=5,LEFT(K83,2)&amp;"."&amp;RIGHT(K83,3),K83)),verfvoorraad!E:E,verfvoorraad!D:D),"Niet gevonden")))</f>
        <v/>
      </c>
      <c r="N83" t="str">
        <f>IF(K83="","",IFERROR(_xlfn.XLOOKUP(K83,verfvoorraad!C:C,verfvoorraad!E:E),IFERROR(_xlfn.XLOOKUP(IF(LEFT(UPPER(K83),4)="REV-","REV-"&amp;VALUE(MID(K83,5,99)),IF(LEN(K83)=5,LEFT(K83,2)&amp;"."&amp;RIGHT(K83,3),K83)),verfvoorraad!E:E,verfvoorraad!E:E),"Niet gevonden")))</f>
        <v/>
      </c>
      <c r="O83" t="str">
        <f>IF(K83="","",IFERROR(_xlfn.XLOOKUP(K83,verfvoorraad!C:C,verfvoorraad!F:F),IFERROR(_xlfn.XLOOKUP(IF(LEFT(UPPER(K83),4)="REV-","REV-"&amp;VALUE(MID(K83,5,99)),IF(LEN(K83)=5,LEFT(K83,2)&amp;"."&amp;RIGHT(K83,3),K83)),verfvoorraad!E:E,verfvoorraad!F:F),"Niet gevonden")))</f>
        <v/>
      </c>
      <c r="P83" t="str">
        <f>IF(K83="","",IFERROR(_xlfn.XLOOKUP(K83,verfvoorraad!C:C,verfvoorraad!G:G),IFERROR(_xlfn.XLOOKUP(IF(LEFT(UPPER(K83),4)="REV-","REV-"&amp;VALUE(MID(K83,5,99)),IF(LEN(K83)=5,LEFT(K83,2)&amp;"."&amp;RIGHT(K83,3),K83)),verfvoorraad!E:E,verfvoorraad!G:G),"Niet gevonden")))</f>
        <v/>
      </c>
      <c r="Q83" t="str">
        <f t="shared" si="0"/>
        <v/>
      </c>
      <c r="R83" t="str">
        <f t="shared" si="1"/>
        <v/>
      </c>
    </row>
    <row r="84" spans="6:18" x14ac:dyDescent="0.25">
      <c r="F84"/>
      <c r="G84" s="20"/>
      <c r="H84" s="21"/>
      <c r="K84" s="23"/>
      <c r="L84" t="str">
        <f>IF(K84="","",IFERROR(_xlfn.XLOOKUP(K84,verfvoorraad!C:C,verfvoorraad!B:B),IFERROR(_xlfn.XLOOKUP(IF(LEFT(UPPER(K84),4)="REV-","REV-"&amp;VALUE(MID(K84,5,99)),IF(LEN(K84)=5,LEFT(K84,2)&amp;"."&amp;RIGHT(K84,3),K84)),verfvoorraad!E:E,verfvoorraad!B:B),"Niet gevonden")))</f>
        <v/>
      </c>
      <c r="M84" t="str">
        <f>IF(K84="","",IFERROR(_xlfn.XLOOKUP(K84,verfvoorraad!C:C,verfvoorraad!D:D),IFERROR(_xlfn.XLOOKUP(IF(LEFT(UPPER(K84),4)="REV-","REV-"&amp;VALUE(MID(K84,5,99)),IF(LEN(K84)=5,LEFT(K84,2)&amp;"."&amp;RIGHT(K84,3),K84)),verfvoorraad!E:E,verfvoorraad!D:D),"Niet gevonden")))</f>
        <v/>
      </c>
      <c r="N84" t="str">
        <f>IF(K84="","",IFERROR(_xlfn.XLOOKUP(K84,verfvoorraad!C:C,verfvoorraad!E:E),IFERROR(_xlfn.XLOOKUP(IF(LEFT(UPPER(K84),4)="REV-","REV-"&amp;VALUE(MID(K84,5,99)),IF(LEN(K84)=5,LEFT(K84,2)&amp;"."&amp;RIGHT(K84,3),K84)),verfvoorraad!E:E,verfvoorraad!E:E),"Niet gevonden")))</f>
        <v/>
      </c>
      <c r="O84" t="str">
        <f>IF(K84="","",IFERROR(_xlfn.XLOOKUP(K84,verfvoorraad!C:C,verfvoorraad!F:F),IFERROR(_xlfn.XLOOKUP(IF(LEFT(UPPER(K84),4)="REV-","REV-"&amp;VALUE(MID(K84,5,99)),IF(LEN(K84)=5,LEFT(K84,2)&amp;"."&amp;RIGHT(K84,3),K84)),verfvoorraad!E:E,verfvoorraad!F:F),"Niet gevonden")))</f>
        <v/>
      </c>
      <c r="P84" t="str">
        <f>IF(K84="","",IFERROR(_xlfn.XLOOKUP(K84,verfvoorraad!C:C,verfvoorraad!G:G),IFERROR(_xlfn.XLOOKUP(IF(LEFT(UPPER(K84),4)="REV-","REV-"&amp;VALUE(MID(K84,5,99)),IF(LEN(K84)=5,LEFT(K84,2)&amp;"."&amp;RIGHT(K84,3),K84)),verfvoorraad!E:E,verfvoorraad!G:G),"Niet gevonden")))</f>
        <v/>
      </c>
      <c r="Q84" t="str">
        <f t="shared" si="0"/>
        <v/>
      </c>
      <c r="R84" t="str">
        <f t="shared" si="1"/>
        <v/>
      </c>
    </row>
    <row r="85" spans="6:18" x14ac:dyDescent="0.25">
      <c r="F85"/>
      <c r="G85" s="20"/>
      <c r="H85" s="21"/>
      <c r="K85" s="23"/>
      <c r="L85" t="str">
        <f>IF(K85="","",IFERROR(_xlfn.XLOOKUP(K85,verfvoorraad!C:C,verfvoorraad!B:B),IFERROR(_xlfn.XLOOKUP(IF(LEFT(UPPER(K85),4)="REV-","REV-"&amp;VALUE(MID(K85,5,99)),IF(LEN(K85)=5,LEFT(K85,2)&amp;"."&amp;RIGHT(K85,3),K85)),verfvoorraad!E:E,verfvoorraad!B:B),"Niet gevonden")))</f>
        <v/>
      </c>
      <c r="M85" t="str">
        <f>IF(K85="","",IFERROR(_xlfn.XLOOKUP(K85,verfvoorraad!C:C,verfvoorraad!D:D),IFERROR(_xlfn.XLOOKUP(IF(LEFT(UPPER(K85),4)="REV-","REV-"&amp;VALUE(MID(K85,5,99)),IF(LEN(K85)=5,LEFT(K85,2)&amp;"."&amp;RIGHT(K85,3),K85)),verfvoorraad!E:E,verfvoorraad!D:D),"Niet gevonden")))</f>
        <v/>
      </c>
      <c r="N85" t="str">
        <f>IF(K85="","",IFERROR(_xlfn.XLOOKUP(K85,verfvoorraad!C:C,verfvoorraad!E:E),IFERROR(_xlfn.XLOOKUP(IF(LEFT(UPPER(K85),4)="REV-","REV-"&amp;VALUE(MID(K85,5,99)),IF(LEN(K85)=5,LEFT(K85,2)&amp;"."&amp;RIGHT(K85,3),K85)),verfvoorraad!E:E,verfvoorraad!E:E),"Niet gevonden")))</f>
        <v/>
      </c>
      <c r="O85" t="str">
        <f>IF(K85="","",IFERROR(_xlfn.XLOOKUP(K85,verfvoorraad!C:C,verfvoorraad!F:F),IFERROR(_xlfn.XLOOKUP(IF(LEFT(UPPER(K85),4)="REV-","REV-"&amp;VALUE(MID(K85,5,99)),IF(LEN(K85)=5,LEFT(K85,2)&amp;"."&amp;RIGHT(K85,3),K85)),verfvoorraad!E:E,verfvoorraad!F:F),"Niet gevonden")))</f>
        <v/>
      </c>
      <c r="P85" t="str">
        <f>IF(K85="","",IFERROR(_xlfn.XLOOKUP(K85,verfvoorraad!C:C,verfvoorraad!G:G),IFERROR(_xlfn.XLOOKUP(IF(LEFT(UPPER(K85),4)="REV-","REV-"&amp;VALUE(MID(K85,5,99)),IF(LEN(K85)=5,LEFT(K85,2)&amp;"."&amp;RIGHT(K85,3),K85)),verfvoorraad!E:E,verfvoorraad!G:G),"Niet gevonden")))</f>
        <v/>
      </c>
      <c r="Q85" t="str">
        <f t="shared" ref="Q85:Q148" si="2">IF(K85="","",IF(O85="Ja","Nee",IF(O85="Nee","Ja",IF(O85="Niet gevonden","Niet gevonden",""))))</f>
        <v/>
      </c>
      <c r="R85" t="str">
        <f t="shared" ref="R85:R148" si="3">IF(Q85="Ja","Toevoegen","")</f>
        <v/>
      </c>
    </row>
    <row r="86" spans="6:18" x14ac:dyDescent="0.25">
      <c r="F86"/>
      <c r="G86" s="20"/>
      <c r="H86" s="21"/>
      <c r="K86" s="23"/>
      <c r="L86" t="str">
        <f>IF(K86="","",IFERROR(_xlfn.XLOOKUP(K86,verfvoorraad!C:C,verfvoorraad!B:B),IFERROR(_xlfn.XLOOKUP(IF(LEFT(UPPER(K86),4)="REV-","REV-"&amp;VALUE(MID(K86,5,99)),IF(LEN(K86)=5,LEFT(K86,2)&amp;"."&amp;RIGHT(K86,3),K86)),verfvoorraad!E:E,verfvoorraad!B:B),"Niet gevonden")))</f>
        <v/>
      </c>
      <c r="M86" t="str">
        <f>IF(K86="","",IFERROR(_xlfn.XLOOKUP(K86,verfvoorraad!C:C,verfvoorraad!D:D),IFERROR(_xlfn.XLOOKUP(IF(LEFT(UPPER(K86),4)="REV-","REV-"&amp;VALUE(MID(K86,5,99)),IF(LEN(K86)=5,LEFT(K86,2)&amp;"."&amp;RIGHT(K86,3),K86)),verfvoorraad!E:E,verfvoorraad!D:D),"Niet gevonden")))</f>
        <v/>
      </c>
      <c r="N86" t="str">
        <f>IF(K86="","",IFERROR(_xlfn.XLOOKUP(K86,verfvoorraad!C:C,verfvoorraad!E:E),IFERROR(_xlfn.XLOOKUP(IF(LEFT(UPPER(K86),4)="REV-","REV-"&amp;VALUE(MID(K86,5,99)),IF(LEN(K86)=5,LEFT(K86,2)&amp;"."&amp;RIGHT(K86,3),K86)),verfvoorraad!E:E,verfvoorraad!E:E),"Niet gevonden")))</f>
        <v/>
      </c>
      <c r="O86" t="str">
        <f>IF(K86="","",IFERROR(_xlfn.XLOOKUP(K86,verfvoorraad!C:C,verfvoorraad!F:F),IFERROR(_xlfn.XLOOKUP(IF(LEFT(UPPER(K86),4)="REV-","REV-"&amp;VALUE(MID(K86,5,99)),IF(LEN(K86)=5,LEFT(K86,2)&amp;"."&amp;RIGHT(K86,3),K86)),verfvoorraad!E:E,verfvoorraad!F:F),"Niet gevonden")))</f>
        <v/>
      </c>
      <c r="P86" t="str">
        <f>IF(K86="","",IFERROR(_xlfn.XLOOKUP(K86,verfvoorraad!C:C,verfvoorraad!G:G),IFERROR(_xlfn.XLOOKUP(IF(LEFT(UPPER(K86),4)="REV-","REV-"&amp;VALUE(MID(K86,5,99)),IF(LEN(K86)=5,LEFT(K86,2)&amp;"."&amp;RIGHT(K86,3),K86)),verfvoorraad!E:E,verfvoorraad!G:G),"Niet gevonden")))</f>
        <v/>
      </c>
      <c r="Q86" t="str">
        <f t="shared" si="2"/>
        <v/>
      </c>
      <c r="R86" t="str">
        <f t="shared" si="3"/>
        <v/>
      </c>
    </row>
    <row r="87" spans="6:18" x14ac:dyDescent="0.25">
      <c r="F87"/>
      <c r="G87" s="20"/>
      <c r="H87" s="21"/>
      <c r="K87" s="23"/>
      <c r="L87" t="str">
        <f>IF(K87="","",IFERROR(_xlfn.XLOOKUP(K87,verfvoorraad!C:C,verfvoorraad!B:B),IFERROR(_xlfn.XLOOKUP(IF(LEFT(UPPER(K87),4)="REV-","REV-"&amp;VALUE(MID(K87,5,99)),IF(LEN(K87)=5,LEFT(K87,2)&amp;"."&amp;RIGHT(K87,3),K87)),verfvoorraad!E:E,verfvoorraad!B:B),"Niet gevonden")))</f>
        <v/>
      </c>
      <c r="M87" t="str">
        <f>IF(K87="","",IFERROR(_xlfn.XLOOKUP(K87,verfvoorraad!C:C,verfvoorraad!D:D),IFERROR(_xlfn.XLOOKUP(IF(LEFT(UPPER(K87),4)="REV-","REV-"&amp;VALUE(MID(K87,5,99)),IF(LEN(K87)=5,LEFT(K87,2)&amp;"."&amp;RIGHT(K87,3),K87)),verfvoorraad!E:E,verfvoorraad!D:D),"Niet gevonden")))</f>
        <v/>
      </c>
      <c r="N87" t="str">
        <f>IF(K87="","",IFERROR(_xlfn.XLOOKUP(K87,verfvoorraad!C:C,verfvoorraad!E:E),IFERROR(_xlfn.XLOOKUP(IF(LEFT(UPPER(K87),4)="REV-","REV-"&amp;VALUE(MID(K87,5,99)),IF(LEN(K87)=5,LEFT(K87,2)&amp;"."&amp;RIGHT(K87,3),K87)),verfvoorraad!E:E,verfvoorraad!E:E),"Niet gevonden")))</f>
        <v/>
      </c>
      <c r="O87" t="str">
        <f>IF(K87="","",IFERROR(_xlfn.XLOOKUP(K87,verfvoorraad!C:C,verfvoorraad!F:F),IFERROR(_xlfn.XLOOKUP(IF(LEFT(UPPER(K87),4)="REV-","REV-"&amp;VALUE(MID(K87,5,99)),IF(LEN(K87)=5,LEFT(K87,2)&amp;"."&amp;RIGHT(K87,3),K87)),verfvoorraad!E:E,verfvoorraad!F:F),"Niet gevonden")))</f>
        <v/>
      </c>
      <c r="P87" t="str">
        <f>IF(K87="","",IFERROR(_xlfn.XLOOKUP(K87,verfvoorraad!C:C,verfvoorraad!G:G),IFERROR(_xlfn.XLOOKUP(IF(LEFT(UPPER(K87),4)="REV-","REV-"&amp;VALUE(MID(K87,5,99)),IF(LEN(K87)=5,LEFT(K87,2)&amp;"."&amp;RIGHT(K87,3),K87)),verfvoorraad!E:E,verfvoorraad!G:G),"Niet gevonden")))</f>
        <v/>
      </c>
      <c r="Q87" t="str">
        <f t="shared" si="2"/>
        <v/>
      </c>
      <c r="R87" t="str">
        <f t="shared" si="3"/>
        <v/>
      </c>
    </row>
    <row r="88" spans="6:18" x14ac:dyDescent="0.25">
      <c r="F88"/>
      <c r="G88" s="20"/>
      <c r="H88" s="21"/>
      <c r="K88" s="23"/>
      <c r="L88" t="str">
        <f>IF(K88="","",IFERROR(_xlfn.XLOOKUP(K88,verfvoorraad!C:C,verfvoorraad!B:B),IFERROR(_xlfn.XLOOKUP(IF(LEFT(UPPER(K88),4)="REV-","REV-"&amp;VALUE(MID(K88,5,99)),IF(LEN(K88)=5,LEFT(K88,2)&amp;"."&amp;RIGHT(K88,3),K88)),verfvoorraad!E:E,verfvoorraad!B:B),"Niet gevonden")))</f>
        <v/>
      </c>
      <c r="M88" t="str">
        <f>IF(K88="","",IFERROR(_xlfn.XLOOKUP(K88,verfvoorraad!C:C,verfvoorraad!D:D),IFERROR(_xlfn.XLOOKUP(IF(LEFT(UPPER(K88),4)="REV-","REV-"&amp;VALUE(MID(K88,5,99)),IF(LEN(K88)=5,LEFT(K88,2)&amp;"."&amp;RIGHT(K88,3),K88)),verfvoorraad!E:E,verfvoorraad!D:D),"Niet gevonden")))</f>
        <v/>
      </c>
      <c r="N88" t="str">
        <f>IF(K88="","",IFERROR(_xlfn.XLOOKUP(K88,verfvoorraad!C:C,verfvoorraad!E:E),IFERROR(_xlfn.XLOOKUP(IF(LEFT(UPPER(K88),4)="REV-","REV-"&amp;VALUE(MID(K88,5,99)),IF(LEN(K88)=5,LEFT(K88,2)&amp;"."&amp;RIGHT(K88,3),K88)),verfvoorraad!E:E,verfvoorraad!E:E),"Niet gevonden")))</f>
        <v/>
      </c>
      <c r="O88" t="str">
        <f>IF(K88="","",IFERROR(_xlfn.XLOOKUP(K88,verfvoorraad!C:C,verfvoorraad!F:F),IFERROR(_xlfn.XLOOKUP(IF(LEFT(UPPER(K88),4)="REV-","REV-"&amp;VALUE(MID(K88,5,99)),IF(LEN(K88)=5,LEFT(K88,2)&amp;"."&amp;RIGHT(K88,3),K88)),verfvoorraad!E:E,verfvoorraad!F:F),"Niet gevonden")))</f>
        <v/>
      </c>
      <c r="P88" t="str">
        <f>IF(K88="","",IFERROR(_xlfn.XLOOKUP(K88,verfvoorraad!C:C,verfvoorraad!G:G),IFERROR(_xlfn.XLOOKUP(IF(LEFT(UPPER(K88),4)="REV-","REV-"&amp;VALUE(MID(K88,5,99)),IF(LEN(K88)=5,LEFT(K88,2)&amp;"."&amp;RIGHT(K88,3),K88)),verfvoorraad!E:E,verfvoorraad!G:G),"Niet gevonden")))</f>
        <v/>
      </c>
      <c r="Q88" t="str">
        <f t="shared" si="2"/>
        <v/>
      </c>
      <c r="R88" t="str">
        <f t="shared" si="3"/>
        <v/>
      </c>
    </row>
    <row r="89" spans="6:18" x14ac:dyDescent="0.25">
      <c r="F89"/>
      <c r="G89" s="20"/>
      <c r="H89" s="21"/>
      <c r="K89" s="23"/>
      <c r="L89" t="str">
        <f>IF(K89="","",IFERROR(_xlfn.XLOOKUP(K89,verfvoorraad!C:C,verfvoorraad!B:B),IFERROR(_xlfn.XLOOKUP(IF(LEFT(UPPER(K89),4)="REV-","REV-"&amp;VALUE(MID(K89,5,99)),IF(LEN(K89)=5,LEFT(K89,2)&amp;"."&amp;RIGHT(K89,3),K89)),verfvoorraad!E:E,verfvoorraad!B:B),"Niet gevonden")))</f>
        <v/>
      </c>
      <c r="M89" t="str">
        <f>IF(K89="","",IFERROR(_xlfn.XLOOKUP(K89,verfvoorraad!C:C,verfvoorraad!D:D),IFERROR(_xlfn.XLOOKUP(IF(LEFT(UPPER(K89),4)="REV-","REV-"&amp;VALUE(MID(K89,5,99)),IF(LEN(K89)=5,LEFT(K89,2)&amp;"."&amp;RIGHT(K89,3),K89)),verfvoorraad!E:E,verfvoorraad!D:D),"Niet gevonden")))</f>
        <v/>
      </c>
      <c r="N89" t="str">
        <f>IF(K89="","",IFERROR(_xlfn.XLOOKUP(K89,verfvoorraad!C:C,verfvoorraad!E:E),IFERROR(_xlfn.XLOOKUP(IF(LEFT(UPPER(K89),4)="REV-","REV-"&amp;VALUE(MID(K89,5,99)),IF(LEN(K89)=5,LEFT(K89,2)&amp;"."&amp;RIGHT(K89,3),K89)),verfvoorraad!E:E,verfvoorraad!E:E),"Niet gevonden")))</f>
        <v/>
      </c>
      <c r="O89" t="str">
        <f>IF(K89="","",IFERROR(_xlfn.XLOOKUP(K89,verfvoorraad!C:C,verfvoorraad!F:F),IFERROR(_xlfn.XLOOKUP(IF(LEFT(UPPER(K89),4)="REV-","REV-"&amp;VALUE(MID(K89,5,99)),IF(LEN(K89)=5,LEFT(K89,2)&amp;"."&amp;RIGHT(K89,3),K89)),verfvoorraad!E:E,verfvoorraad!F:F),"Niet gevonden")))</f>
        <v/>
      </c>
      <c r="P89" t="str">
        <f>IF(K89="","",IFERROR(_xlfn.XLOOKUP(K89,verfvoorraad!C:C,verfvoorraad!G:G),IFERROR(_xlfn.XLOOKUP(IF(LEFT(UPPER(K89),4)="REV-","REV-"&amp;VALUE(MID(K89,5,99)),IF(LEN(K89)=5,LEFT(K89,2)&amp;"."&amp;RIGHT(K89,3),K89)),verfvoorraad!E:E,verfvoorraad!G:G),"Niet gevonden")))</f>
        <v/>
      </c>
      <c r="Q89" t="str">
        <f t="shared" si="2"/>
        <v/>
      </c>
      <c r="R89" t="str">
        <f t="shared" si="3"/>
        <v/>
      </c>
    </row>
    <row r="90" spans="6:18" x14ac:dyDescent="0.25">
      <c r="F90"/>
      <c r="G90" s="20"/>
      <c r="H90" s="21"/>
      <c r="K90" s="23"/>
      <c r="L90" t="str">
        <f>IF(K90="","",IFERROR(_xlfn.XLOOKUP(K90,verfvoorraad!C:C,verfvoorraad!B:B),IFERROR(_xlfn.XLOOKUP(IF(LEFT(UPPER(K90),4)="REV-","REV-"&amp;VALUE(MID(K90,5,99)),IF(LEN(K90)=5,LEFT(K90,2)&amp;"."&amp;RIGHT(K90,3),K90)),verfvoorraad!E:E,verfvoorraad!B:B),"Niet gevonden")))</f>
        <v/>
      </c>
      <c r="M90" t="str">
        <f>IF(K90="","",IFERROR(_xlfn.XLOOKUP(K90,verfvoorraad!C:C,verfvoorraad!D:D),IFERROR(_xlfn.XLOOKUP(IF(LEFT(UPPER(K90),4)="REV-","REV-"&amp;VALUE(MID(K90,5,99)),IF(LEN(K90)=5,LEFT(K90,2)&amp;"."&amp;RIGHT(K90,3),K90)),verfvoorraad!E:E,verfvoorraad!D:D),"Niet gevonden")))</f>
        <v/>
      </c>
      <c r="N90" t="str">
        <f>IF(K90="","",IFERROR(_xlfn.XLOOKUP(K90,verfvoorraad!C:C,verfvoorraad!E:E),IFERROR(_xlfn.XLOOKUP(IF(LEFT(UPPER(K90),4)="REV-","REV-"&amp;VALUE(MID(K90,5,99)),IF(LEN(K90)=5,LEFT(K90,2)&amp;"."&amp;RIGHT(K90,3),K90)),verfvoorraad!E:E,verfvoorraad!E:E),"Niet gevonden")))</f>
        <v/>
      </c>
      <c r="O90" t="str">
        <f>IF(K90="","",IFERROR(_xlfn.XLOOKUP(K90,verfvoorraad!C:C,verfvoorraad!F:F),IFERROR(_xlfn.XLOOKUP(IF(LEFT(UPPER(K90),4)="REV-","REV-"&amp;VALUE(MID(K90,5,99)),IF(LEN(K90)=5,LEFT(K90,2)&amp;"."&amp;RIGHT(K90,3),K90)),verfvoorraad!E:E,verfvoorraad!F:F),"Niet gevonden")))</f>
        <v/>
      </c>
      <c r="P90" t="str">
        <f>IF(K90="","",IFERROR(_xlfn.XLOOKUP(K90,verfvoorraad!C:C,verfvoorraad!G:G),IFERROR(_xlfn.XLOOKUP(IF(LEFT(UPPER(K90),4)="REV-","REV-"&amp;VALUE(MID(K90,5,99)),IF(LEN(K90)=5,LEFT(K90,2)&amp;"."&amp;RIGHT(K90,3),K90)),verfvoorraad!E:E,verfvoorraad!G:G),"Niet gevonden")))</f>
        <v/>
      </c>
      <c r="Q90" t="str">
        <f t="shared" si="2"/>
        <v/>
      </c>
      <c r="R90" t="str">
        <f t="shared" si="3"/>
        <v/>
      </c>
    </row>
    <row r="91" spans="6:18" x14ac:dyDescent="0.25">
      <c r="F91"/>
      <c r="G91" s="20"/>
      <c r="H91" s="21"/>
      <c r="K91" s="23"/>
      <c r="L91" t="str">
        <f>IF(K91="","",IFERROR(_xlfn.XLOOKUP(K91,verfvoorraad!C:C,verfvoorraad!B:B),IFERROR(_xlfn.XLOOKUP(IF(LEFT(UPPER(K91),4)="REV-","REV-"&amp;VALUE(MID(K91,5,99)),IF(LEN(K91)=5,LEFT(K91,2)&amp;"."&amp;RIGHT(K91,3),K91)),verfvoorraad!E:E,verfvoorraad!B:B),"Niet gevonden")))</f>
        <v/>
      </c>
      <c r="M91" t="str">
        <f>IF(K91="","",IFERROR(_xlfn.XLOOKUP(K91,verfvoorraad!C:C,verfvoorraad!D:D),IFERROR(_xlfn.XLOOKUP(IF(LEFT(UPPER(K91),4)="REV-","REV-"&amp;VALUE(MID(K91,5,99)),IF(LEN(K91)=5,LEFT(K91,2)&amp;"."&amp;RIGHT(K91,3),K91)),verfvoorraad!E:E,verfvoorraad!D:D),"Niet gevonden")))</f>
        <v/>
      </c>
      <c r="N91" t="str">
        <f>IF(K91="","",IFERROR(_xlfn.XLOOKUP(K91,verfvoorraad!C:C,verfvoorraad!E:E),IFERROR(_xlfn.XLOOKUP(IF(LEFT(UPPER(K91),4)="REV-","REV-"&amp;VALUE(MID(K91,5,99)),IF(LEN(K91)=5,LEFT(K91,2)&amp;"."&amp;RIGHT(K91,3),K91)),verfvoorraad!E:E,verfvoorraad!E:E),"Niet gevonden")))</f>
        <v/>
      </c>
      <c r="O91" t="str">
        <f>IF(K91="","",IFERROR(_xlfn.XLOOKUP(K91,verfvoorraad!C:C,verfvoorraad!F:F),IFERROR(_xlfn.XLOOKUP(IF(LEFT(UPPER(K91),4)="REV-","REV-"&amp;VALUE(MID(K91,5,99)),IF(LEN(K91)=5,LEFT(K91,2)&amp;"."&amp;RIGHT(K91,3),K91)),verfvoorraad!E:E,verfvoorraad!F:F),"Niet gevonden")))</f>
        <v/>
      </c>
      <c r="P91" t="str">
        <f>IF(K91="","",IFERROR(_xlfn.XLOOKUP(K91,verfvoorraad!C:C,verfvoorraad!G:G),IFERROR(_xlfn.XLOOKUP(IF(LEFT(UPPER(K91),4)="REV-","REV-"&amp;VALUE(MID(K91,5,99)),IF(LEN(K91)=5,LEFT(K91,2)&amp;"."&amp;RIGHT(K91,3),K91)),verfvoorraad!E:E,verfvoorraad!G:G),"Niet gevonden")))</f>
        <v/>
      </c>
      <c r="Q91" t="str">
        <f t="shared" si="2"/>
        <v/>
      </c>
      <c r="R91" t="str">
        <f t="shared" si="3"/>
        <v/>
      </c>
    </row>
    <row r="92" spans="6:18" x14ac:dyDescent="0.25">
      <c r="F92"/>
      <c r="G92" s="20"/>
      <c r="H92" s="21"/>
      <c r="K92" s="23"/>
      <c r="L92" t="str">
        <f>IF(K92="","",IFERROR(_xlfn.XLOOKUP(K92,verfvoorraad!C:C,verfvoorraad!B:B),IFERROR(_xlfn.XLOOKUP(IF(LEFT(UPPER(K92),4)="REV-","REV-"&amp;VALUE(MID(K92,5,99)),IF(LEN(K92)=5,LEFT(K92,2)&amp;"."&amp;RIGHT(K92,3),K92)),verfvoorraad!E:E,verfvoorraad!B:B),"Niet gevonden")))</f>
        <v/>
      </c>
      <c r="M92" t="str">
        <f>IF(K92="","",IFERROR(_xlfn.XLOOKUP(K92,verfvoorraad!C:C,verfvoorraad!D:D),IFERROR(_xlfn.XLOOKUP(IF(LEFT(UPPER(K92),4)="REV-","REV-"&amp;VALUE(MID(K92,5,99)),IF(LEN(K92)=5,LEFT(K92,2)&amp;"."&amp;RIGHT(K92,3),K92)),verfvoorraad!E:E,verfvoorraad!D:D),"Niet gevonden")))</f>
        <v/>
      </c>
      <c r="N92" t="str">
        <f>IF(K92="","",IFERROR(_xlfn.XLOOKUP(K92,verfvoorraad!C:C,verfvoorraad!E:E),IFERROR(_xlfn.XLOOKUP(IF(LEFT(UPPER(K92),4)="REV-","REV-"&amp;VALUE(MID(K92,5,99)),IF(LEN(K92)=5,LEFT(K92,2)&amp;"."&amp;RIGHT(K92,3),K92)),verfvoorraad!E:E,verfvoorraad!E:E),"Niet gevonden")))</f>
        <v/>
      </c>
      <c r="O92" t="str">
        <f>IF(K92="","",IFERROR(_xlfn.XLOOKUP(K92,verfvoorraad!C:C,verfvoorraad!F:F),IFERROR(_xlfn.XLOOKUP(IF(LEFT(UPPER(K92),4)="REV-","REV-"&amp;VALUE(MID(K92,5,99)),IF(LEN(K92)=5,LEFT(K92,2)&amp;"."&amp;RIGHT(K92,3),K92)),verfvoorraad!E:E,verfvoorraad!F:F),"Niet gevonden")))</f>
        <v/>
      </c>
      <c r="P92" t="str">
        <f>IF(K92="","",IFERROR(_xlfn.XLOOKUP(K92,verfvoorraad!C:C,verfvoorraad!G:G),IFERROR(_xlfn.XLOOKUP(IF(LEFT(UPPER(K92),4)="REV-","REV-"&amp;VALUE(MID(K92,5,99)),IF(LEN(K92)=5,LEFT(K92,2)&amp;"."&amp;RIGHT(K92,3),K92)),verfvoorraad!E:E,verfvoorraad!G:G),"Niet gevonden")))</f>
        <v/>
      </c>
      <c r="Q92" t="str">
        <f t="shared" si="2"/>
        <v/>
      </c>
      <c r="R92" t="str">
        <f t="shared" si="3"/>
        <v/>
      </c>
    </row>
    <row r="93" spans="6:18" x14ac:dyDescent="0.25">
      <c r="F93"/>
      <c r="G93" s="20"/>
      <c r="H93" s="21"/>
      <c r="K93" s="23"/>
      <c r="L93" t="str">
        <f>IF(K93="","",IFERROR(_xlfn.XLOOKUP(K93,verfvoorraad!C:C,verfvoorraad!B:B),IFERROR(_xlfn.XLOOKUP(IF(LEFT(UPPER(K93),4)="REV-","REV-"&amp;VALUE(MID(K93,5,99)),IF(LEN(K93)=5,LEFT(K93,2)&amp;"."&amp;RIGHT(K93,3),K93)),verfvoorraad!E:E,verfvoorraad!B:B),"Niet gevonden")))</f>
        <v/>
      </c>
      <c r="M93" t="str">
        <f>IF(K93="","",IFERROR(_xlfn.XLOOKUP(K93,verfvoorraad!C:C,verfvoorraad!D:D),IFERROR(_xlfn.XLOOKUP(IF(LEFT(UPPER(K93),4)="REV-","REV-"&amp;VALUE(MID(K93,5,99)),IF(LEN(K93)=5,LEFT(K93,2)&amp;"."&amp;RIGHT(K93,3),K93)),verfvoorraad!E:E,verfvoorraad!D:D),"Niet gevonden")))</f>
        <v/>
      </c>
      <c r="N93" t="str">
        <f>IF(K93="","",IFERROR(_xlfn.XLOOKUP(K93,verfvoorraad!C:C,verfvoorraad!E:E),IFERROR(_xlfn.XLOOKUP(IF(LEFT(UPPER(K93),4)="REV-","REV-"&amp;VALUE(MID(K93,5,99)),IF(LEN(K93)=5,LEFT(K93,2)&amp;"."&amp;RIGHT(K93,3),K93)),verfvoorraad!E:E,verfvoorraad!E:E),"Niet gevonden")))</f>
        <v/>
      </c>
      <c r="O93" t="str">
        <f>IF(K93="","",IFERROR(_xlfn.XLOOKUP(K93,verfvoorraad!C:C,verfvoorraad!F:F),IFERROR(_xlfn.XLOOKUP(IF(LEFT(UPPER(K93),4)="REV-","REV-"&amp;VALUE(MID(K93,5,99)),IF(LEN(K93)=5,LEFT(K93,2)&amp;"."&amp;RIGHT(K93,3),K93)),verfvoorraad!E:E,verfvoorraad!F:F),"Niet gevonden")))</f>
        <v/>
      </c>
      <c r="P93" t="str">
        <f>IF(K93="","",IFERROR(_xlfn.XLOOKUP(K93,verfvoorraad!C:C,verfvoorraad!G:G),IFERROR(_xlfn.XLOOKUP(IF(LEFT(UPPER(K93),4)="REV-","REV-"&amp;VALUE(MID(K93,5,99)),IF(LEN(K93)=5,LEFT(K93,2)&amp;"."&amp;RIGHT(K93,3),K93)),verfvoorraad!E:E,verfvoorraad!G:G),"Niet gevonden")))</f>
        <v/>
      </c>
      <c r="Q93" t="str">
        <f t="shared" si="2"/>
        <v/>
      </c>
      <c r="R93" t="str">
        <f t="shared" si="3"/>
        <v/>
      </c>
    </row>
    <row r="94" spans="6:18" x14ac:dyDescent="0.25">
      <c r="F94"/>
      <c r="G94" s="20"/>
      <c r="H94" s="21"/>
      <c r="K94" s="23"/>
      <c r="L94" t="str">
        <f>IF(K94="","",IFERROR(_xlfn.XLOOKUP(K94,verfvoorraad!C:C,verfvoorraad!B:B),IFERROR(_xlfn.XLOOKUP(IF(LEFT(UPPER(K94),4)="REV-","REV-"&amp;VALUE(MID(K94,5,99)),IF(LEN(K94)=5,LEFT(K94,2)&amp;"."&amp;RIGHT(K94,3),K94)),verfvoorraad!E:E,verfvoorraad!B:B),"Niet gevonden")))</f>
        <v/>
      </c>
      <c r="M94" t="str">
        <f>IF(K94="","",IFERROR(_xlfn.XLOOKUP(K94,verfvoorraad!C:C,verfvoorraad!D:D),IFERROR(_xlfn.XLOOKUP(IF(LEFT(UPPER(K94),4)="REV-","REV-"&amp;VALUE(MID(K94,5,99)),IF(LEN(K94)=5,LEFT(K94,2)&amp;"."&amp;RIGHT(K94,3),K94)),verfvoorraad!E:E,verfvoorraad!D:D),"Niet gevonden")))</f>
        <v/>
      </c>
      <c r="N94" t="str">
        <f>IF(K94="","",IFERROR(_xlfn.XLOOKUP(K94,verfvoorraad!C:C,verfvoorraad!E:E),IFERROR(_xlfn.XLOOKUP(IF(LEFT(UPPER(K94),4)="REV-","REV-"&amp;VALUE(MID(K94,5,99)),IF(LEN(K94)=5,LEFT(K94,2)&amp;"."&amp;RIGHT(K94,3),K94)),verfvoorraad!E:E,verfvoorraad!E:E),"Niet gevonden")))</f>
        <v/>
      </c>
      <c r="O94" t="str">
        <f>IF(K94="","",IFERROR(_xlfn.XLOOKUP(K94,verfvoorraad!C:C,verfvoorraad!F:F),IFERROR(_xlfn.XLOOKUP(IF(LEFT(UPPER(K94),4)="REV-","REV-"&amp;VALUE(MID(K94,5,99)),IF(LEN(K94)=5,LEFT(K94,2)&amp;"."&amp;RIGHT(K94,3),K94)),verfvoorraad!E:E,verfvoorraad!F:F),"Niet gevonden")))</f>
        <v/>
      </c>
      <c r="P94" t="str">
        <f>IF(K94="","",IFERROR(_xlfn.XLOOKUP(K94,verfvoorraad!C:C,verfvoorraad!G:G),IFERROR(_xlfn.XLOOKUP(IF(LEFT(UPPER(K94),4)="REV-","REV-"&amp;VALUE(MID(K94,5,99)),IF(LEN(K94)=5,LEFT(K94,2)&amp;"."&amp;RIGHT(K94,3),K94)),verfvoorraad!E:E,verfvoorraad!G:G),"Niet gevonden")))</f>
        <v/>
      </c>
      <c r="Q94" t="str">
        <f t="shared" si="2"/>
        <v/>
      </c>
      <c r="R94" t="str">
        <f t="shared" si="3"/>
        <v/>
      </c>
    </row>
    <row r="95" spans="6:18" x14ac:dyDescent="0.25">
      <c r="F95"/>
      <c r="G95" s="20"/>
      <c r="H95" s="21"/>
      <c r="K95" s="23"/>
      <c r="L95" t="str">
        <f>IF(K95="","",IFERROR(_xlfn.XLOOKUP(K95,verfvoorraad!C:C,verfvoorraad!B:B),IFERROR(_xlfn.XLOOKUP(IF(LEFT(UPPER(K95),4)="REV-","REV-"&amp;VALUE(MID(K95,5,99)),IF(LEN(K95)=5,LEFT(K95,2)&amp;"."&amp;RIGHT(K95,3),K95)),verfvoorraad!E:E,verfvoorraad!B:B),"Niet gevonden")))</f>
        <v/>
      </c>
      <c r="M95" t="str">
        <f>IF(K95="","",IFERROR(_xlfn.XLOOKUP(K95,verfvoorraad!C:C,verfvoorraad!D:D),IFERROR(_xlfn.XLOOKUP(IF(LEFT(UPPER(K95),4)="REV-","REV-"&amp;VALUE(MID(K95,5,99)),IF(LEN(K95)=5,LEFT(K95,2)&amp;"."&amp;RIGHT(K95,3),K95)),verfvoorraad!E:E,verfvoorraad!D:D),"Niet gevonden")))</f>
        <v/>
      </c>
      <c r="N95" t="str">
        <f>IF(K95="","",IFERROR(_xlfn.XLOOKUP(K95,verfvoorraad!C:C,verfvoorraad!E:E),IFERROR(_xlfn.XLOOKUP(IF(LEFT(UPPER(K95),4)="REV-","REV-"&amp;VALUE(MID(K95,5,99)),IF(LEN(K95)=5,LEFT(K95,2)&amp;"."&amp;RIGHT(K95,3),K95)),verfvoorraad!E:E,verfvoorraad!E:E),"Niet gevonden")))</f>
        <v/>
      </c>
      <c r="O95" t="str">
        <f>IF(K95="","",IFERROR(_xlfn.XLOOKUP(K95,verfvoorraad!C:C,verfvoorraad!F:F),IFERROR(_xlfn.XLOOKUP(IF(LEFT(UPPER(K95),4)="REV-","REV-"&amp;VALUE(MID(K95,5,99)),IF(LEN(K95)=5,LEFT(K95,2)&amp;"."&amp;RIGHT(K95,3),K95)),verfvoorraad!E:E,verfvoorraad!F:F),"Niet gevonden")))</f>
        <v/>
      </c>
      <c r="P95" t="str">
        <f>IF(K95="","",IFERROR(_xlfn.XLOOKUP(K95,verfvoorraad!C:C,verfvoorraad!G:G),IFERROR(_xlfn.XLOOKUP(IF(LEFT(UPPER(K95),4)="REV-","REV-"&amp;VALUE(MID(K95,5,99)),IF(LEN(K95)=5,LEFT(K95,2)&amp;"."&amp;RIGHT(K95,3),K95)),verfvoorraad!E:E,verfvoorraad!G:G),"Niet gevonden")))</f>
        <v/>
      </c>
      <c r="Q95" t="str">
        <f t="shared" si="2"/>
        <v/>
      </c>
      <c r="R95" t="str">
        <f t="shared" si="3"/>
        <v/>
      </c>
    </row>
    <row r="96" spans="6:18" x14ac:dyDescent="0.25">
      <c r="F96"/>
      <c r="G96" s="20"/>
      <c r="H96" s="21"/>
      <c r="K96" s="23"/>
      <c r="L96" t="str">
        <f>IF(K96="","",IFERROR(_xlfn.XLOOKUP(K96,verfvoorraad!C:C,verfvoorraad!B:B),IFERROR(_xlfn.XLOOKUP(IF(LEFT(UPPER(K96),4)="REV-","REV-"&amp;VALUE(MID(K96,5,99)),IF(LEN(K96)=5,LEFT(K96,2)&amp;"."&amp;RIGHT(K96,3),K96)),verfvoorraad!E:E,verfvoorraad!B:B),"Niet gevonden")))</f>
        <v/>
      </c>
      <c r="M96" t="str">
        <f>IF(K96="","",IFERROR(_xlfn.XLOOKUP(K96,verfvoorraad!C:C,verfvoorraad!D:D),IFERROR(_xlfn.XLOOKUP(IF(LEFT(UPPER(K96),4)="REV-","REV-"&amp;VALUE(MID(K96,5,99)),IF(LEN(K96)=5,LEFT(K96,2)&amp;"."&amp;RIGHT(K96,3),K96)),verfvoorraad!E:E,verfvoorraad!D:D),"Niet gevonden")))</f>
        <v/>
      </c>
      <c r="N96" t="str">
        <f>IF(K96="","",IFERROR(_xlfn.XLOOKUP(K96,verfvoorraad!C:C,verfvoorraad!E:E),IFERROR(_xlfn.XLOOKUP(IF(LEFT(UPPER(K96),4)="REV-","REV-"&amp;VALUE(MID(K96,5,99)),IF(LEN(K96)=5,LEFT(K96,2)&amp;"."&amp;RIGHT(K96,3),K96)),verfvoorraad!E:E,verfvoorraad!E:E),"Niet gevonden")))</f>
        <v/>
      </c>
      <c r="O96" t="str">
        <f>IF(K96="","",IFERROR(_xlfn.XLOOKUP(K96,verfvoorraad!C:C,verfvoorraad!F:F),IFERROR(_xlfn.XLOOKUP(IF(LEFT(UPPER(K96),4)="REV-","REV-"&amp;VALUE(MID(K96,5,99)),IF(LEN(K96)=5,LEFT(K96,2)&amp;"."&amp;RIGHT(K96,3),K96)),verfvoorraad!E:E,verfvoorraad!F:F),"Niet gevonden")))</f>
        <v/>
      </c>
      <c r="P96" t="str">
        <f>IF(K96="","",IFERROR(_xlfn.XLOOKUP(K96,verfvoorraad!C:C,verfvoorraad!G:G),IFERROR(_xlfn.XLOOKUP(IF(LEFT(UPPER(K96),4)="REV-","REV-"&amp;VALUE(MID(K96,5,99)),IF(LEN(K96)=5,LEFT(K96,2)&amp;"."&amp;RIGHT(K96,3),K96)),verfvoorraad!E:E,verfvoorraad!G:G),"Niet gevonden")))</f>
        <v/>
      </c>
      <c r="Q96" t="str">
        <f t="shared" si="2"/>
        <v/>
      </c>
      <c r="R96" t="str">
        <f t="shared" si="3"/>
        <v/>
      </c>
    </row>
    <row r="97" spans="6:18" x14ac:dyDescent="0.25">
      <c r="F97"/>
      <c r="G97" s="20"/>
      <c r="H97" s="21"/>
      <c r="K97" s="23"/>
      <c r="L97" t="str">
        <f>IF(K97="","",IFERROR(_xlfn.XLOOKUP(K97,verfvoorraad!C:C,verfvoorraad!B:B),IFERROR(_xlfn.XLOOKUP(IF(LEFT(UPPER(K97),4)="REV-","REV-"&amp;VALUE(MID(K97,5,99)),IF(LEN(K97)=5,LEFT(K97,2)&amp;"."&amp;RIGHT(K97,3),K97)),verfvoorraad!E:E,verfvoorraad!B:B),"Niet gevonden")))</f>
        <v/>
      </c>
      <c r="M97" t="str">
        <f>IF(K97="","",IFERROR(_xlfn.XLOOKUP(K97,verfvoorraad!C:C,verfvoorraad!D:D),IFERROR(_xlfn.XLOOKUP(IF(LEFT(UPPER(K97),4)="REV-","REV-"&amp;VALUE(MID(K97,5,99)),IF(LEN(K97)=5,LEFT(K97,2)&amp;"."&amp;RIGHT(K97,3),K97)),verfvoorraad!E:E,verfvoorraad!D:D),"Niet gevonden")))</f>
        <v/>
      </c>
      <c r="N97" t="str">
        <f>IF(K97="","",IFERROR(_xlfn.XLOOKUP(K97,verfvoorraad!C:C,verfvoorraad!E:E),IFERROR(_xlfn.XLOOKUP(IF(LEFT(UPPER(K97),4)="REV-","REV-"&amp;VALUE(MID(K97,5,99)),IF(LEN(K97)=5,LEFT(K97,2)&amp;"."&amp;RIGHT(K97,3),K97)),verfvoorraad!E:E,verfvoorraad!E:E),"Niet gevonden")))</f>
        <v/>
      </c>
      <c r="O97" t="str">
        <f>IF(K97="","",IFERROR(_xlfn.XLOOKUP(K97,verfvoorraad!C:C,verfvoorraad!F:F),IFERROR(_xlfn.XLOOKUP(IF(LEFT(UPPER(K97),4)="REV-","REV-"&amp;VALUE(MID(K97,5,99)),IF(LEN(K97)=5,LEFT(K97,2)&amp;"."&amp;RIGHT(K97,3),K97)),verfvoorraad!E:E,verfvoorraad!F:F),"Niet gevonden")))</f>
        <v/>
      </c>
      <c r="P97" t="str">
        <f>IF(K97="","",IFERROR(_xlfn.XLOOKUP(K97,verfvoorraad!C:C,verfvoorraad!G:G),IFERROR(_xlfn.XLOOKUP(IF(LEFT(UPPER(K97),4)="REV-","REV-"&amp;VALUE(MID(K97,5,99)),IF(LEN(K97)=5,LEFT(K97,2)&amp;"."&amp;RIGHT(K97,3),K97)),verfvoorraad!E:E,verfvoorraad!G:G),"Niet gevonden")))</f>
        <v/>
      </c>
      <c r="Q97" t="str">
        <f t="shared" si="2"/>
        <v/>
      </c>
      <c r="R97" t="str">
        <f t="shared" si="3"/>
        <v/>
      </c>
    </row>
    <row r="98" spans="6:18" x14ac:dyDescent="0.25">
      <c r="F98"/>
      <c r="G98" s="20"/>
      <c r="H98" s="21"/>
      <c r="K98" s="23"/>
      <c r="L98" t="str">
        <f>IF(K98="","",IFERROR(_xlfn.XLOOKUP(K98,verfvoorraad!C:C,verfvoorraad!B:B),IFERROR(_xlfn.XLOOKUP(IF(LEFT(UPPER(K98),4)="REV-","REV-"&amp;VALUE(MID(K98,5,99)),IF(LEN(K98)=5,LEFT(K98,2)&amp;"."&amp;RIGHT(K98,3),K98)),verfvoorraad!E:E,verfvoorraad!B:B),"Niet gevonden")))</f>
        <v/>
      </c>
      <c r="M98" t="str">
        <f>IF(K98="","",IFERROR(_xlfn.XLOOKUP(K98,verfvoorraad!C:C,verfvoorraad!D:D),IFERROR(_xlfn.XLOOKUP(IF(LEFT(UPPER(K98),4)="REV-","REV-"&amp;VALUE(MID(K98,5,99)),IF(LEN(K98)=5,LEFT(K98,2)&amp;"."&amp;RIGHT(K98,3),K98)),verfvoorraad!E:E,verfvoorraad!D:D),"Niet gevonden")))</f>
        <v/>
      </c>
      <c r="N98" t="str">
        <f>IF(K98="","",IFERROR(_xlfn.XLOOKUP(K98,verfvoorraad!C:C,verfvoorraad!E:E),IFERROR(_xlfn.XLOOKUP(IF(LEFT(UPPER(K98),4)="REV-","REV-"&amp;VALUE(MID(K98,5,99)),IF(LEN(K98)=5,LEFT(K98,2)&amp;"."&amp;RIGHT(K98,3),K98)),verfvoorraad!E:E,verfvoorraad!E:E),"Niet gevonden")))</f>
        <v/>
      </c>
      <c r="O98" t="str">
        <f>IF(K98="","",IFERROR(_xlfn.XLOOKUP(K98,verfvoorraad!C:C,verfvoorraad!F:F),IFERROR(_xlfn.XLOOKUP(IF(LEFT(UPPER(K98),4)="REV-","REV-"&amp;VALUE(MID(K98,5,99)),IF(LEN(K98)=5,LEFT(K98,2)&amp;"."&amp;RIGHT(K98,3),K98)),verfvoorraad!E:E,verfvoorraad!F:F),"Niet gevonden")))</f>
        <v/>
      </c>
      <c r="P98" t="str">
        <f>IF(K98="","",IFERROR(_xlfn.XLOOKUP(K98,verfvoorraad!C:C,verfvoorraad!G:G),IFERROR(_xlfn.XLOOKUP(IF(LEFT(UPPER(K98),4)="REV-","REV-"&amp;VALUE(MID(K98,5,99)),IF(LEN(K98)=5,LEFT(K98,2)&amp;"."&amp;RIGHT(K98,3),K98)),verfvoorraad!E:E,verfvoorraad!G:G),"Niet gevonden")))</f>
        <v/>
      </c>
      <c r="Q98" t="str">
        <f t="shared" si="2"/>
        <v/>
      </c>
      <c r="R98" t="str">
        <f t="shared" si="3"/>
        <v/>
      </c>
    </row>
    <row r="99" spans="6:18" x14ac:dyDescent="0.25">
      <c r="F99"/>
      <c r="G99" s="20"/>
      <c r="H99" s="21"/>
      <c r="K99" s="23"/>
      <c r="L99" t="str">
        <f>IF(K99="","",IFERROR(_xlfn.XLOOKUP(K99,verfvoorraad!C:C,verfvoorraad!B:B),IFERROR(_xlfn.XLOOKUP(IF(LEFT(UPPER(K99),4)="REV-","REV-"&amp;VALUE(MID(K99,5,99)),IF(LEN(K99)=5,LEFT(K99,2)&amp;"."&amp;RIGHT(K99,3),K99)),verfvoorraad!E:E,verfvoorraad!B:B),"Niet gevonden")))</f>
        <v/>
      </c>
      <c r="M99" t="str">
        <f>IF(K99="","",IFERROR(_xlfn.XLOOKUP(K99,verfvoorraad!C:C,verfvoorraad!D:D),IFERROR(_xlfn.XLOOKUP(IF(LEFT(UPPER(K99),4)="REV-","REV-"&amp;VALUE(MID(K99,5,99)),IF(LEN(K99)=5,LEFT(K99,2)&amp;"."&amp;RIGHT(K99,3),K99)),verfvoorraad!E:E,verfvoorraad!D:D),"Niet gevonden")))</f>
        <v/>
      </c>
      <c r="N99" t="str">
        <f>IF(K99="","",IFERROR(_xlfn.XLOOKUP(K99,verfvoorraad!C:C,verfvoorraad!E:E),IFERROR(_xlfn.XLOOKUP(IF(LEFT(UPPER(K99),4)="REV-","REV-"&amp;VALUE(MID(K99,5,99)),IF(LEN(K99)=5,LEFT(K99,2)&amp;"."&amp;RIGHT(K99,3),K99)),verfvoorraad!E:E,verfvoorraad!E:E),"Niet gevonden")))</f>
        <v/>
      </c>
      <c r="O99" t="str">
        <f>IF(K99="","",IFERROR(_xlfn.XLOOKUP(K99,verfvoorraad!C:C,verfvoorraad!F:F),IFERROR(_xlfn.XLOOKUP(IF(LEFT(UPPER(K99),4)="REV-","REV-"&amp;VALUE(MID(K99,5,99)),IF(LEN(K99)=5,LEFT(K99,2)&amp;"."&amp;RIGHT(K99,3),K99)),verfvoorraad!E:E,verfvoorraad!F:F),"Niet gevonden")))</f>
        <v/>
      </c>
      <c r="P99" t="str">
        <f>IF(K99="","",IFERROR(_xlfn.XLOOKUP(K99,verfvoorraad!C:C,verfvoorraad!G:G),IFERROR(_xlfn.XLOOKUP(IF(LEFT(UPPER(K99),4)="REV-","REV-"&amp;VALUE(MID(K99,5,99)),IF(LEN(K99)=5,LEFT(K99,2)&amp;"."&amp;RIGHT(K99,3),K99)),verfvoorraad!E:E,verfvoorraad!G:G),"Niet gevonden")))</f>
        <v/>
      </c>
      <c r="Q99" t="str">
        <f t="shared" si="2"/>
        <v/>
      </c>
      <c r="R99" t="str">
        <f t="shared" si="3"/>
        <v/>
      </c>
    </row>
    <row r="100" spans="6:18" x14ac:dyDescent="0.25">
      <c r="F100"/>
      <c r="G100" s="20"/>
      <c r="H100" s="21"/>
      <c r="K100" s="23"/>
      <c r="L100" t="str">
        <f>IF(K100="","",IFERROR(_xlfn.XLOOKUP(K100,verfvoorraad!C:C,verfvoorraad!B:B),IFERROR(_xlfn.XLOOKUP(IF(LEFT(UPPER(K100),4)="REV-","REV-"&amp;VALUE(MID(K100,5,99)),IF(LEN(K100)=5,LEFT(K100,2)&amp;"."&amp;RIGHT(K100,3),K100)),verfvoorraad!E:E,verfvoorraad!B:B),"Niet gevonden")))</f>
        <v/>
      </c>
      <c r="M100" t="str">
        <f>IF(K100="","",IFERROR(_xlfn.XLOOKUP(K100,verfvoorraad!C:C,verfvoorraad!D:D),IFERROR(_xlfn.XLOOKUP(IF(LEFT(UPPER(K100),4)="REV-","REV-"&amp;VALUE(MID(K100,5,99)),IF(LEN(K100)=5,LEFT(K100,2)&amp;"."&amp;RIGHT(K100,3),K100)),verfvoorraad!E:E,verfvoorraad!D:D),"Niet gevonden")))</f>
        <v/>
      </c>
      <c r="N100" t="str">
        <f>IF(K100="","",IFERROR(_xlfn.XLOOKUP(K100,verfvoorraad!C:C,verfvoorraad!E:E),IFERROR(_xlfn.XLOOKUP(IF(LEFT(UPPER(K100),4)="REV-","REV-"&amp;VALUE(MID(K100,5,99)),IF(LEN(K100)=5,LEFT(K100,2)&amp;"."&amp;RIGHT(K100,3),K100)),verfvoorraad!E:E,verfvoorraad!E:E),"Niet gevonden")))</f>
        <v/>
      </c>
      <c r="O100" t="str">
        <f>IF(K100="","",IFERROR(_xlfn.XLOOKUP(K100,verfvoorraad!C:C,verfvoorraad!F:F),IFERROR(_xlfn.XLOOKUP(IF(LEFT(UPPER(K100),4)="REV-","REV-"&amp;VALUE(MID(K100,5,99)),IF(LEN(K100)=5,LEFT(K100,2)&amp;"."&amp;RIGHT(K100,3),K100)),verfvoorraad!E:E,verfvoorraad!F:F),"Niet gevonden")))</f>
        <v/>
      </c>
      <c r="P100" t="str">
        <f>IF(K100="","",IFERROR(_xlfn.XLOOKUP(K100,verfvoorraad!C:C,verfvoorraad!G:G),IFERROR(_xlfn.XLOOKUP(IF(LEFT(UPPER(K100),4)="REV-","REV-"&amp;VALUE(MID(K100,5,99)),IF(LEN(K100)=5,LEFT(K100,2)&amp;"."&amp;RIGHT(K100,3),K100)),verfvoorraad!E:E,verfvoorraad!G:G),"Niet gevonden")))</f>
        <v/>
      </c>
      <c r="Q100" t="str">
        <f t="shared" si="2"/>
        <v/>
      </c>
      <c r="R100" t="str">
        <f t="shared" si="3"/>
        <v/>
      </c>
    </row>
    <row r="101" spans="6:18" x14ac:dyDescent="0.25">
      <c r="F101"/>
      <c r="G101" s="20"/>
      <c r="H101" s="21"/>
      <c r="K101" s="23"/>
      <c r="L101" t="str">
        <f>IF(K101="","",IFERROR(_xlfn.XLOOKUP(K101,verfvoorraad!C:C,verfvoorraad!B:B),IFERROR(_xlfn.XLOOKUP(IF(LEFT(UPPER(K101),4)="REV-","REV-"&amp;VALUE(MID(K101,5,99)),IF(LEN(K101)=5,LEFT(K101,2)&amp;"."&amp;RIGHT(K101,3),K101)),verfvoorraad!E:E,verfvoorraad!B:B),"Niet gevonden")))</f>
        <v/>
      </c>
      <c r="M101" t="str">
        <f>IF(K101="","",IFERROR(_xlfn.XLOOKUP(K101,verfvoorraad!C:C,verfvoorraad!D:D),IFERROR(_xlfn.XLOOKUP(IF(LEFT(UPPER(K101),4)="REV-","REV-"&amp;VALUE(MID(K101,5,99)),IF(LEN(K101)=5,LEFT(K101,2)&amp;"."&amp;RIGHT(K101,3),K101)),verfvoorraad!E:E,verfvoorraad!D:D),"Niet gevonden")))</f>
        <v/>
      </c>
      <c r="N101" t="str">
        <f>IF(K101="","",IFERROR(_xlfn.XLOOKUP(K101,verfvoorraad!C:C,verfvoorraad!E:E),IFERROR(_xlfn.XLOOKUP(IF(LEFT(UPPER(K101),4)="REV-","REV-"&amp;VALUE(MID(K101,5,99)),IF(LEN(K101)=5,LEFT(K101,2)&amp;"."&amp;RIGHT(K101,3),K101)),verfvoorraad!E:E,verfvoorraad!E:E),"Niet gevonden")))</f>
        <v/>
      </c>
      <c r="O101" t="str">
        <f>IF(K101="","",IFERROR(_xlfn.XLOOKUP(K101,verfvoorraad!C:C,verfvoorraad!F:F),IFERROR(_xlfn.XLOOKUP(IF(LEFT(UPPER(K101),4)="REV-","REV-"&amp;VALUE(MID(K101,5,99)),IF(LEN(K101)=5,LEFT(K101,2)&amp;"."&amp;RIGHT(K101,3),K101)),verfvoorraad!E:E,verfvoorraad!F:F),"Niet gevonden")))</f>
        <v/>
      </c>
      <c r="P101" t="str">
        <f>IF(K101="","",IFERROR(_xlfn.XLOOKUP(K101,verfvoorraad!C:C,verfvoorraad!G:G),IFERROR(_xlfn.XLOOKUP(IF(LEFT(UPPER(K101),4)="REV-","REV-"&amp;VALUE(MID(K101,5,99)),IF(LEN(K101)=5,LEFT(K101,2)&amp;"."&amp;RIGHT(K101,3),K101)),verfvoorraad!E:E,verfvoorraad!G:G),"Niet gevonden")))</f>
        <v/>
      </c>
      <c r="Q101" t="str">
        <f t="shared" si="2"/>
        <v/>
      </c>
      <c r="R101" t="str">
        <f t="shared" si="3"/>
        <v/>
      </c>
    </row>
    <row r="102" spans="6:18" x14ac:dyDescent="0.25">
      <c r="F102"/>
      <c r="G102" s="20"/>
      <c r="H102" s="21"/>
      <c r="K102" s="23"/>
      <c r="L102" t="str">
        <f>IF(K102="","",IFERROR(_xlfn.XLOOKUP(K102,verfvoorraad!C:C,verfvoorraad!B:B),IFERROR(_xlfn.XLOOKUP(IF(LEFT(UPPER(K102),4)="REV-","REV-"&amp;VALUE(MID(K102,5,99)),IF(LEN(K102)=5,LEFT(K102,2)&amp;"."&amp;RIGHT(K102,3),K102)),verfvoorraad!E:E,verfvoorraad!B:B),"Niet gevonden")))</f>
        <v/>
      </c>
      <c r="M102" t="str">
        <f>IF(K102="","",IFERROR(_xlfn.XLOOKUP(K102,verfvoorraad!C:C,verfvoorraad!D:D),IFERROR(_xlfn.XLOOKUP(IF(LEFT(UPPER(K102),4)="REV-","REV-"&amp;VALUE(MID(K102,5,99)),IF(LEN(K102)=5,LEFT(K102,2)&amp;"."&amp;RIGHT(K102,3),K102)),verfvoorraad!E:E,verfvoorraad!D:D),"Niet gevonden")))</f>
        <v/>
      </c>
      <c r="N102" t="str">
        <f>IF(K102="","",IFERROR(_xlfn.XLOOKUP(K102,verfvoorraad!C:C,verfvoorraad!E:E),IFERROR(_xlfn.XLOOKUP(IF(LEFT(UPPER(K102),4)="REV-","REV-"&amp;VALUE(MID(K102,5,99)),IF(LEN(K102)=5,LEFT(K102,2)&amp;"."&amp;RIGHT(K102,3),K102)),verfvoorraad!E:E,verfvoorraad!E:E),"Niet gevonden")))</f>
        <v/>
      </c>
      <c r="O102" t="str">
        <f>IF(K102="","",IFERROR(_xlfn.XLOOKUP(K102,verfvoorraad!C:C,verfvoorraad!F:F),IFERROR(_xlfn.XLOOKUP(IF(LEFT(UPPER(K102),4)="REV-","REV-"&amp;VALUE(MID(K102,5,99)),IF(LEN(K102)=5,LEFT(K102,2)&amp;"."&amp;RIGHT(K102,3),K102)),verfvoorraad!E:E,verfvoorraad!F:F),"Niet gevonden")))</f>
        <v/>
      </c>
      <c r="P102" t="str">
        <f>IF(K102="","",IFERROR(_xlfn.XLOOKUP(K102,verfvoorraad!C:C,verfvoorraad!G:G),IFERROR(_xlfn.XLOOKUP(IF(LEFT(UPPER(K102),4)="REV-","REV-"&amp;VALUE(MID(K102,5,99)),IF(LEN(K102)=5,LEFT(K102,2)&amp;"."&amp;RIGHT(K102,3),K102)),verfvoorraad!E:E,verfvoorraad!G:G),"Niet gevonden")))</f>
        <v/>
      </c>
      <c r="Q102" t="str">
        <f t="shared" si="2"/>
        <v/>
      </c>
      <c r="R102" t="str">
        <f t="shared" si="3"/>
        <v/>
      </c>
    </row>
    <row r="103" spans="6:18" x14ac:dyDescent="0.25">
      <c r="F103"/>
      <c r="G103" s="20"/>
      <c r="H103" s="21"/>
      <c r="K103" s="23"/>
      <c r="L103" t="str">
        <f>IF(K103="","",IFERROR(_xlfn.XLOOKUP(K103,verfvoorraad!C:C,verfvoorraad!B:B),IFERROR(_xlfn.XLOOKUP(IF(LEFT(UPPER(K103),4)="REV-","REV-"&amp;VALUE(MID(K103,5,99)),IF(LEN(K103)=5,LEFT(K103,2)&amp;"."&amp;RIGHT(K103,3),K103)),verfvoorraad!E:E,verfvoorraad!B:B),"Niet gevonden")))</f>
        <v/>
      </c>
      <c r="M103" t="str">
        <f>IF(K103="","",IFERROR(_xlfn.XLOOKUP(K103,verfvoorraad!C:C,verfvoorraad!D:D),IFERROR(_xlfn.XLOOKUP(IF(LEFT(UPPER(K103),4)="REV-","REV-"&amp;VALUE(MID(K103,5,99)),IF(LEN(K103)=5,LEFT(K103,2)&amp;"."&amp;RIGHT(K103,3),K103)),verfvoorraad!E:E,verfvoorraad!D:D),"Niet gevonden")))</f>
        <v/>
      </c>
      <c r="N103" t="str">
        <f>IF(K103="","",IFERROR(_xlfn.XLOOKUP(K103,verfvoorraad!C:C,verfvoorraad!E:E),IFERROR(_xlfn.XLOOKUP(IF(LEFT(UPPER(K103),4)="REV-","REV-"&amp;VALUE(MID(K103,5,99)),IF(LEN(K103)=5,LEFT(K103,2)&amp;"."&amp;RIGHT(K103,3),K103)),verfvoorraad!E:E,verfvoorraad!E:E),"Niet gevonden")))</f>
        <v/>
      </c>
      <c r="O103" t="str">
        <f>IF(K103="","",IFERROR(_xlfn.XLOOKUP(K103,verfvoorraad!C:C,verfvoorraad!F:F),IFERROR(_xlfn.XLOOKUP(IF(LEFT(UPPER(K103),4)="REV-","REV-"&amp;VALUE(MID(K103,5,99)),IF(LEN(K103)=5,LEFT(K103,2)&amp;"."&amp;RIGHT(K103,3),K103)),verfvoorraad!E:E,verfvoorraad!F:F),"Niet gevonden")))</f>
        <v/>
      </c>
      <c r="P103" t="str">
        <f>IF(K103="","",IFERROR(_xlfn.XLOOKUP(K103,verfvoorraad!C:C,verfvoorraad!G:G),IFERROR(_xlfn.XLOOKUP(IF(LEFT(UPPER(K103),4)="REV-","REV-"&amp;VALUE(MID(K103,5,99)),IF(LEN(K103)=5,LEFT(K103,2)&amp;"."&amp;RIGHT(K103,3),K103)),verfvoorraad!E:E,verfvoorraad!G:G),"Niet gevonden")))</f>
        <v/>
      </c>
      <c r="Q103" t="str">
        <f t="shared" si="2"/>
        <v/>
      </c>
      <c r="R103" t="str">
        <f t="shared" si="3"/>
        <v/>
      </c>
    </row>
    <row r="104" spans="6:18" x14ac:dyDescent="0.25">
      <c r="F104"/>
      <c r="G104" s="20"/>
      <c r="H104" s="21"/>
      <c r="K104" s="23"/>
      <c r="L104" t="str">
        <f>IF(K104="","",IFERROR(_xlfn.XLOOKUP(K104,verfvoorraad!C:C,verfvoorraad!B:B),IFERROR(_xlfn.XLOOKUP(IF(LEFT(UPPER(K104),4)="REV-","REV-"&amp;VALUE(MID(K104,5,99)),IF(LEN(K104)=5,LEFT(K104,2)&amp;"."&amp;RIGHT(K104,3),K104)),verfvoorraad!E:E,verfvoorraad!B:B),"Niet gevonden")))</f>
        <v/>
      </c>
      <c r="M104" t="str">
        <f>IF(K104="","",IFERROR(_xlfn.XLOOKUP(K104,verfvoorraad!C:C,verfvoorraad!D:D),IFERROR(_xlfn.XLOOKUP(IF(LEFT(UPPER(K104),4)="REV-","REV-"&amp;VALUE(MID(K104,5,99)),IF(LEN(K104)=5,LEFT(K104,2)&amp;"."&amp;RIGHT(K104,3),K104)),verfvoorraad!E:E,verfvoorraad!D:D),"Niet gevonden")))</f>
        <v/>
      </c>
      <c r="N104" t="str">
        <f>IF(K104="","",IFERROR(_xlfn.XLOOKUP(K104,verfvoorraad!C:C,verfvoorraad!E:E),IFERROR(_xlfn.XLOOKUP(IF(LEFT(UPPER(K104),4)="REV-","REV-"&amp;VALUE(MID(K104,5,99)),IF(LEN(K104)=5,LEFT(K104,2)&amp;"."&amp;RIGHT(K104,3),K104)),verfvoorraad!E:E,verfvoorraad!E:E),"Niet gevonden")))</f>
        <v/>
      </c>
      <c r="O104" t="str">
        <f>IF(K104="","",IFERROR(_xlfn.XLOOKUP(K104,verfvoorraad!C:C,verfvoorraad!F:F),IFERROR(_xlfn.XLOOKUP(IF(LEFT(UPPER(K104),4)="REV-","REV-"&amp;VALUE(MID(K104,5,99)),IF(LEN(K104)=5,LEFT(K104,2)&amp;"."&amp;RIGHT(K104,3),K104)),verfvoorraad!E:E,verfvoorraad!F:F),"Niet gevonden")))</f>
        <v/>
      </c>
      <c r="P104" t="str">
        <f>IF(K104="","",IFERROR(_xlfn.XLOOKUP(K104,verfvoorraad!C:C,verfvoorraad!G:G),IFERROR(_xlfn.XLOOKUP(IF(LEFT(UPPER(K104),4)="REV-","REV-"&amp;VALUE(MID(K104,5,99)),IF(LEN(K104)=5,LEFT(K104,2)&amp;"."&amp;RIGHT(K104,3),K104)),verfvoorraad!E:E,verfvoorraad!G:G),"Niet gevonden")))</f>
        <v/>
      </c>
      <c r="Q104" t="str">
        <f t="shared" si="2"/>
        <v/>
      </c>
      <c r="R104" t="str">
        <f t="shared" si="3"/>
        <v/>
      </c>
    </row>
    <row r="105" spans="6:18" x14ac:dyDescent="0.25">
      <c r="F105"/>
      <c r="G105" s="20"/>
      <c r="H105" s="21"/>
      <c r="K105" s="23"/>
      <c r="L105" t="str">
        <f>IF(K105="","",IFERROR(_xlfn.XLOOKUP(K105,verfvoorraad!C:C,verfvoorraad!B:B),IFERROR(_xlfn.XLOOKUP(IF(LEFT(UPPER(K105),4)="REV-","REV-"&amp;VALUE(MID(K105,5,99)),IF(LEN(K105)=5,LEFT(K105,2)&amp;"."&amp;RIGHT(K105,3),K105)),verfvoorraad!E:E,verfvoorraad!B:B),"Niet gevonden")))</f>
        <v/>
      </c>
      <c r="M105" t="str">
        <f>IF(K105="","",IFERROR(_xlfn.XLOOKUP(K105,verfvoorraad!C:C,verfvoorraad!D:D),IFERROR(_xlfn.XLOOKUP(IF(LEFT(UPPER(K105),4)="REV-","REV-"&amp;VALUE(MID(K105,5,99)),IF(LEN(K105)=5,LEFT(K105,2)&amp;"."&amp;RIGHT(K105,3),K105)),verfvoorraad!E:E,verfvoorraad!D:D),"Niet gevonden")))</f>
        <v/>
      </c>
      <c r="N105" t="str">
        <f>IF(K105="","",IFERROR(_xlfn.XLOOKUP(K105,verfvoorraad!C:C,verfvoorraad!E:E),IFERROR(_xlfn.XLOOKUP(IF(LEFT(UPPER(K105),4)="REV-","REV-"&amp;VALUE(MID(K105,5,99)),IF(LEN(K105)=5,LEFT(K105,2)&amp;"."&amp;RIGHT(K105,3),K105)),verfvoorraad!E:E,verfvoorraad!E:E),"Niet gevonden")))</f>
        <v/>
      </c>
      <c r="O105" t="str">
        <f>IF(K105="","",IFERROR(_xlfn.XLOOKUP(K105,verfvoorraad!C:C,verfvoorraad!F:F),IFERROR(_xlfn.XLOOKUP(IF(LEFT(UPPER(K105),4)="REV-","REV-"&amp;VALUE(MID(K105,5,99)),IF(LEN(K105)=5,LEFT(K105,2)&amp;"."&amp;RIGHT(K105,3),K105)),verfvoorraad!E:E,verfvoorraad!F:F),"Niet gevonden")))</f>
        <v/>
      </c>
      <c r="P105" t="str">
        <f>IF(K105="","",IFERROR(_xlfn.XLOOKUP(K105,verfvoorraad!C:C,verfvoorraad!G:G),IFERROR(_xlfn.XLOOKUP(IF(LEFT(UPPER(K105),4)="REV-","REV-"&amp;VALUE(MID(K105,5,99)),IF(LEN(K105)=5,LEFT(K105,2)&amp;"."&amp;RIGHT(K105,3),K105)),verfvoorraad!E:E,verfvoorraad!G:G),"Niet gevonden")))</f>
        <v/>
      </c>
      <c r="Q105" t="str">
        <f t="shared" si="2"/>
        <v/>
      </c>
      <c r="R105" t="str">
        <f t="shared" si="3"/>
        <v/>
      </c>
    </row>
    <row r="106" spans="6:18" x14ac:dyDescent="0.25">
      <c r="F106"/>
      <c r="G106" s="20"/>
      <c r="H106" s="21"/>
      <c r="K106" s="23"/>
      <c r="L106" t="str">
        <f>IF(K106="","",IFERROR(_xlfn.XLOOKUP(K106,verfvoorraad!C:C,verfvoorraad!B:B),IFERROR(_xlfn.XLOOKUP(IF(LEFT(UPPER(K106),4)="REV-","REV-"&amp;VALUE(MID(K106,5,99)),IF(LEN(K106)=5,LEFT(K106,2)&amp;"."&amp;RIGHT(K106,3),K106)),verfvoorraad!E:E,verfvoorraad!B:B),"Niet gevonden")))</f>
        <v/>
      </c>
      <c r="M106" t="str">
        <f>IF(K106="","",IFERROR(_xlfn.XLOOKUP(K106,verfvoorraad!C:C,verfvoorraad!D:D),IFERROR(_xlfn.XLOOKUP(IF(LEFT(UPPER(K106),4)="REV-","REV-"&amp;VALUE(MID(K106,5,99)),IF(LEN(K106)=5,LEFT(K106,2)&amp;"."&amp;RIGHT(K106,3),K106)),verfvoorraad!E:E,verfvoorraad!D:D),"Niet gevonden")))</f>
        <v/>
      </c>
      <c r="N106" t="str">
        <f>IF(K106="","",IFERROR(_xlfn.XLOOKUP(K106,verfvoorraad!C:C,verfvoorraad!E:E),IFERROR(_xlfn.XLOOKUP(IF(LEFT(UPPER(K106),4)="REV-","REV-"&amp;VALUE(MID(K106,5,99)),IF(LEN(K106)=5,LEFT(K106,2)&amp;"."&amp;RIGHT(K106,3),K106)),verfvoorraad!E:E,verfvoorraad!E:E),"Niet gevonden")))</f>
        <v/>
      </c>
      <c r="O106" t="str">
        <f>IF(K106="","",IFERROR(_xlfn.XLOOKUP(K106,verfvoorraad!C:C,verfvoorraad!F:F),IFERROR(_xlfn.XLOOKUP(IF(LEFT(UPPER(K106),4)="REV-","REV-"&amp;VALUE(MID(K106,5,99)),IF(LEN(K106)=5,LEFT(K106,2)&amp;"."&amp;RIGHT(K106,3),K106)),verfvoorraad!E:E,verfvoorraad!F:F),"Niet gevonden")))</f>
        <v/>
      </c>
      <c r="P106" t="str">
        <f>IF(K106="","",IFERROR(_xlfn.XLOOKUP(K106,verfvoorraad!C:C,verfvoorraad!G:G),IFERROR(_xlfn.XLOOKUP(IF(LEFT(UPPER(K106),4)="REV-","REV-"&amp;VALUE(MID(K106,5,99)),IF(LEN(K106)=5,LEFT(K106,2)&amp;"."&amp;RIGHT(K106,3),K106)),verfvoorraad!E:E,verfvoorraad!G:G),"Niet gevonden")))</f>
        <v/>
      </c>
      <c r="Q106" t="str">
        <f t="shared" si="2"/>
        <v/>
      </c>
      <c r="R106" t="str">
        <f t="shared" si="3"/>
        <v/>
      </c>
    </row>
    <row r="107" spans="6:18" x14ac:dyDescent="0.25">
      <c r="F107"/>
      <c r="G107" s="20"/>
      <c r="H107" s="21"/>
      <c r="K107" s="23"/>
      <c r="L107" t="str">
        <f>IF(K107="","",IFERROR(_xlfn.XLOOKUP(K107,verfvoorraad!C:C,verfvoorraad!B:B),IFERROR(_xlfn.XLOOKUP(IF(LEFT(UPPER(K107),4)="REV-","REV-"&amp;VALUE(MID(K107,5,99)),IF(LEN(K107)=5,LEFT(K107,2)&amp;"."&amp;RIGHT(K107,3),K107)),verfvoorraad!E:E,verfvoorraad!B:B),"Niet gevonden")))</f>
        <v/>
      </c>
      <c r="M107" t="str">
        <f>IF(K107="","",IFERROR(_xlfn.XLOOKUP(K107,verfvoorraad!C:C,verfvoorraad!D:D),IFERROR(_xlfn.XLOOKUP(IF(LEFT(UPPER(K107),4)="REV-","REV-"&amp;VALUE(MID(K107,5,99)),IF(LEN(K107)=5,LEFT(K107,2)&amp;"."&amp;RIGHT(K107,3),K107)),verfvoorraad!E:E,verfvoorraad!D:D),"Niet gevonden")))</f>
        <v/>
      </c>
      <c r="N107" t="str">
        <f>IF(K107="","",IFERROR(_xlfn.XLOOKUP(K107,verfvoorraad!C:C,verfvoorraad!E:E),IFERROR(_xlfn.XLOOKUP(IF(LEFT(UPPER(K107),4)="REV-","REV-"&amp;VALUE(MID(K107,5,99)),IF(LEN(K107)=5,LEFT(K107,2)&amp;"."&amp;RIGHT(K107,3),K107)),verfvoorraad!E:E,verfvoorraad!E:E),"Niet gevonden")))</f>
        <v/>
      </c>
      <c r="O107" t="str">
        <f>IF(K107="","",IFERROR(_xlfn.XLOOKUP(K107,verfvoorraad!C:C,verfvoorraad!F:F),IFERROR(_xlfn.XLOOKUP(IF(LEFT(UPPER(K107),4)="REV-","REV-"&amp;VALUE(MID(K107,5,99)),IF(LEN(K107)=5,LEFT(K107,2)&amp;"."&amp;RIGHT(K107,3),K107)),verfvoorraad!E:E,verfvoorraad!F:F),"Niet gevonden")))</f>
        <v/>
      </c>
      <c r="P107" t="str">
        <f>IF(K107="","",IFERROR(_xlfn.XLOOKUP(K107,verfvoorraad!C:C,verfvoorraad!G:G),IFERROR(_xlfn.XLOOKUP(IF(LEFT(UPPER(K107),4)="REV-","REV-"&amp;VALUE(MID(K107,5,99)),IF(LEN(K107)=5,LEFT(K107,2)&amp;"."&amp;RIGHT(K107,3),K107)),verfvoorraad!E:E,verfvoorraad!G:G),"Niet gevonden")))</f>
        <v/>
      </c>
      <c r="Q107" t="str">
        <f t="shared" si="2"/>
        <v/>
      </c>
      <c r="R107" t="str">
        <f t="shared" si="3"/>
        <v/>
      </c>
    </row>
    <row r="108" spans="6:18" x14ac:dyDescent="0.25">
      <c r="F108"/>
      <c r="G108" s="20"/>
      <c r="H108" s="21"/>
      <c r="K108" s="23"/>
      <c r="L108" t="str">
        <f>IF(K108="","",IFERROR(_xlfn.XLOOKUP(K108,verfvoorraad!C:C,verfvoorraad!B:B),IFERROR(_xlfn.XLOOKUP(IF(LEFT(UPPER(K108),4)="REV-","REV-"&amp;VALUE(MID(K108,5,99)),IF(LEN(K108)=5,LEFT(K108,2)&amp;"."&amp;RIGHT(K108,3),K108)),verfvoorraad!E:E,verfvoorraad!B:B),"Niet gevonden")))</f>
        <v/>
      </c>
      <c r="M108" t="str">
        <f>IF(K108="","",IFERROR(_xlfn.XLOOKUP(K108,verfvoorraad!C:C,verfvoorraad!D:D),IFERROR(_xlfn.XLOOKUP(IF(LEFT(UPPER(K108),4)="REV-","REV-"&amp;VALUE(MID(K108,5,99)),IF(LEN(K108)=5,LEFT(K108,2)&amp;"."&amp;RIGHT(K108,3),K108)),verfvoorraad!E:E,verfvoorraad!D:D),"Niet gevonden")))</f>
        <v/>
      </c>
      <c r="N108" t="str">
        <f>IF(K108="","",IFERROR(_xlfn.XLOOKUP(K108,verfvoorraad!C:C,verfvoorraad!E:E),IFERROR(_xlfn.XLOOKUP(IF(LEFT(UPPER(K108),4)="REV-","REV-"&amp;VALUE(MID(K108,5,99)),IF(LEN(K108)=5,LEFT(K108,2)&amp;"."&amp;RIGHT(K108,3),K108)),verfvoorraad!E:E,verfvoorraad!E:E),"Niet gevonden")))</f>
        <v/>
      </c>
      <c r="O108" t="str">
        <f>IF(K108="","",IFERROR(_xlfn.XLOOKUP(K108,verfvoorraad!C:C,verfvoorraad!F:F),IFERROR(_xlfn.XLOOKUP(IF(LEFT(UPPER(K108),4)="REV-","REV-"&amp;VALUE(MID(K108,5,99)),IF(LEN(K108)=5,LEFT(K108,2)&amp;"."&amp;RIGHT(K108,3),K108)),verfvoorraad!E:E,verfvoorraad!F:F),"Niet gevonden")))</f>
        <v/>
      </c>
      <c r="P108" t="str">
        <f>IF(K108="","",IFERROR(_xlfn.XLOOKUP(K108,verfvoorraad!C:C,verfvoorraad!G:G),IFERROR(_xlfn.XLOOKUP(IF(LEFT(UPPER(K108),4)="REV-","REV-"&amp;VALUE(MID(K108,5,99)),IF(LEN(K108)=5,LEFT(K108,2)&amp;"."&amp;RIGHT(K108,3),K108)),verfvoorraad!E:E,verfvoorraad!G:G),"Niet gevonden")))</f>
        <v/>
      </c>
      <c r="Q108" t="str">
        <f t="shared" si="2"/>
        <v/>
      </c>
      <c r="R108" t="str">
        <f t="shared" si="3"/>
        <v/>
      </c>
    </row>
    <row r="109" spans="6:18" x14ac:dyDescent="0.25">
      <c r="F109"/>
      <c r="G109" s="20"/>
      <c r="H109" s="21"/>
      <c r="K109" s="23"/>
      <c r="L109" t="str">
        <f>IF(K109="","",IFERROR(_xlfn.XLOOKUP(K109,verfvoorraad!C:C,verfvoorraad!B:B),IFERROR(_xlfn.XLOOKUP(IF(LEFT(UPPER(K109),4)="REV-","REV-"&amp;VALUE(MID(K109,5,99)),IF(LEN(K109)=5,LEFT(K109,2)&amp;"."&amp;RIGHT(K109,3),K109)),verfvoorraad!E:E,verfvoorraad!B:B),"Niet gevonden")))</f>
        <v/>
      </c>
      <c r="M109" t="str">
        <f>IF(K109="","",IFERROR(_xlfn.XLOOKUP(K109,verfvoorraad!C:C,verfvoorraad!D:D),IFERROR(_xlfn.XLOOKUP(IF(LEFT(UPPER(K109),4)="REV-","REV-"&amp;VALUE(MID(K109,5,99)),IF(LEN(K109)=5,LEFT(K109,2)&amp;"."&amp;RIGHT(K109,3),K109)),verfvoorraad!E:E,verfvoorraad!D:D),"Niet gevonden")))</f>
        <v/>
      </c>
      <c r="N109" t="str">
        <f>IF(K109="","",IFERROR(_xlfn.XLOOKUP(K109,verfvoorraad!C:C,verfvoorraad!E:E),IFERROR(_xlfn.XLOOKUP(IF(LEFT(UPPER(K109),4)="REV-","REV-"&amp;VALUE(MID(K109,5,99)),IF(LEN(K109)=5,LEFT(K109,2)&amp;"."&amp;RIGHT(K109,3),K109)),verfvoorraad!E:E,verfvoorraad!E:E),"Niet gevonden")))</f>
        <v/>
      </c>
      <c r="O109" t="str">
        <f>IF(K109="","",IFERROR(_xlfn.XLOOKUP(K109,verfvoorraad!C:C,verfvoorraad!F:F),IFERROR(_xlfn.XLOOKUP(IF(LEFT(UPPER(K109),4)="REV-","REV-"&amp;VALUE(MID(K109,5,99)),IF(LEN(K109)=5,LEFT(K109,2)&amp;"."&amp;RIGHT(K109,3),K109)),verfvoorraad!E:E,verfvoorraad!F:F),"Niet gevonden")))</f>
        <v/>
      </c>
      <c r="P109" t="str">
        <f>IF(K109="","",IFERROR(_xlfn.XLOOKUP(K109,verfvoorraad!C:C,verfvoorraad!G:G),IFERROR(_xlfn.XLOOKUP(IF(LEFT(UPPER(K109),4)="REV-","REV-"&amp;VALUE(MID(K109,5,99)),IF(LEN(K109)=5,LEFT(K109,2)&amp;"."&amp;RIGHT(K109,3),K109)),verfvoorraad!E:E,verfvoorraad!G:G),"Niet gevonden")))</f>
        <v/>
      </c>
      <c r="Q109" t="str">
        <f t="shared" si="2"/>
        <v/>
      </c>
      <c r="R109" t="str">
        <f t="shared" si="3"/>
        <v/>
      </c>
    </row>
    <row r="110" spans="6:18" x14ac:dyDescent="0.25">
      <c r="F110"/>
      <c r="G110" s="20"/>
      <c r="H110" s="21"/>
      <c r="K110" s="23"/>
      <c r="L110" t="str">
        <f>IF(K110="","",IFERROR(_xlfn.XLOOKUP(K110,verfvoorraad!C:C,verfvoorraad!B:B),IFERROR(_xlfn.XLOOKUP(IF(LEFT(UPPER(K110),4)="REV-","REV-"&amp;VALUE(MID(K110,5,99)),IF(LEN(K110)=5,LEFT(K110,2)&amp;"."&amp;RIGHT(K110,3),K110)),verfvoorraad!E:E,verfvoorraad!B:B),"Niet gevonden")))</f>
        <v/>
      </c>
      <c r="M110" t="str">
        <f>IF(K110="","",IFERROR(_xlfn.XLOOKUP(K110,verfvoorraad!C:C,verfvoorraad!D:D),IFERROR(_xlfn.XLOOKUP(IF(LEFT(UPPER(K110),4)="REV-","REV-"&amp;VALUE(MID(K110,5,99)),IF(LEN(K110)=5,LEFT(K110,2)&amp;"."&amp;RIGHT(K110,3),K110)),verfvoorraad!E:E,verfvoorraad!D:D),"Niet gevonden")))</f>
        <v/>
      </c>
      <c r="N110" t="str">
        <f>IF(K110="","",IFERROR(_xlfn.XLOOKUP(K110,verfvoorraad!C:C,verfvoorraad!E:E),IFERROR(_xlfn.XLOOKUP(IF(LEFT(UPPER(K110),4)="REV-","REV-"&amp;VALUE(MID(K110,5,99)),IF(LEN(K110)=5,LEFT(K110,2)&amp;"."&amp;RIGHT(K110,3),K110)),verfvoorraad!E:E,verfvoorraad!E:E),"Niet gevonden")))</f>
        <v/>
      </c>
      <c r="O110" t="str">
        <f>IF(K110="","",IFERROR(_xlfn.XLOOKUP(K110,verfvoorraad!C:C,verfvoorraad!F:F),IFERROR(_xlfn.XLOOKUP(IF(LEFT(UPPER(K110),4)="REV-","REV-"&amp;VALUE(MID(K110,5,99)),IF(LEN(K110)=5,LEFT(K110,2)&amp;"."&amp;RIGHT(K110,3),K110)),verfvoorraad!E:E,verfvoorraad!F:F),"Niet gevonden")))</f>
        <v/>
      </c>
      <c r="P110" t="str">
        <f>IF(K110="","",IFERROR(_xlfn.XLOOKUP(K110,verfvoorraad!C:C,verfvoorraad!G:G),IFERROR(_xlfn.XLOOKUP(IF(LEFT(UPPER(K110),4)="REV-","REV-"&amp;VALUE(MID(K110,5,99)),IF(LEN(K110)=5,LEFT(K110,2)&amp;"."&amp;RIGHT(K110,3),K110)),verfvoorraad!E:E,verfvoorraad!G:G),"Niet gevonden")))</f>
        <v/>
      </c>
      <c r="Q110" t="str">
        <f t="shared" si="2"/>
        <v/>
      </c>
      <c r="R110" t="str">
        <f t="shared" si="3"/>
        <v/>
      </c>
    </row>
    <row r="111" spans="6:18" x14ac:dyDescent="0.25">
      <c r="F111"/>
      <c r="G111" s="20"/>
      <c r="H111" s="21"/>
      <c r="K111" s="23"/>
      <c r="L111" t="str">
        <f>IF(K111="","",IFERROR(_xlfn.XLOOKUP(K111,verfvoorraad!C:C,verfvoorraad!B:B),IFERROR(_xlfn.XLOOKUP(IF(LEFT(UPPER(K111),4)="REV-","REV-"&amp;VALUE(MID(K111,5,99)),IF(LEN(K111)=5,LEFT(K111,2)&amp;"."&amp;RIGHT(K111,3),K111)),verfvoorraad!E:E,verfvoorraad!B:B),"Niet gevonden")))</f>
        <v/>
      </c>
      <c r="M111" t="str">
        <f>IF(K111="","",IFERROR(_xlfn.XLOOKUP(K111,verfvoorraad!C:C,verfvoorraad!D:D),IFERROR(_xlfn.XLOOKUP(IF(LEFT(UPPER(K111),4)="REV-","REV-"&amp;VALUE(MID(K111,5,99)),IF(LEN(K111)=5,LEFT(K111,2)&amp;"."&amp;RIGHT(K111,3),K111)),verfvoorraad!E:E,verfvoorraad!D:D),"Niet gevonden")))</f>
        <v/>
      </c>
      <c r="N111" t="str">
        <f>IF(K111="","",IFERROR(_xlfn.XLOOKUP(K111,verfvoorraad!C:C,verfvoorraad!E:E),IFERROR(_xlfn.XLOOKUP(IF(LEFT(UPPER(K111),4)="REV-","REV-"&amp;VALUE(MID(K111,5,99)),IF(LEN(K111)=5,LEFT(K111,2)&amp;"."&amp;RIGHT(K111,3),K111)),verfvoorraad!E:E,verfvoorraad!E:E),"Niet gevonden")))</f>
        <v/>
      </c>
      <c r="O111" t="str">
        <f>IF(K111="","",IFERROR(_xlfn.XLOOKUP(K111,verfvoorraad!C:C,verfvoorraad!F:F),IFERROR(_xlfn.XLOOKUP(IF(LEFT(UPPER(K111),4)="REV-","REV-"&amp;VALUE(MID(K111,5,99)),IF(LEN(K111)=5,LEFT(K111,2)&amp;"."&amp;RIGHT(K111,3),K111)),verfvoorraad!E:E,verfvoorraad!F:F),"Niet gevonden")))</f>
        <v/>
      </c>
      <c r="P111" t="str">
        <f>IF(K111="","",IFERROR(_xlfn.XLOOKUP(K111,verfvoorraad!C:C,verfvoorraad!G:G),IFERROR(_xlfn.XLOOKUP(IF(LEFT(UPPER(K111),4)="REV-","REV-"&amp;VALUE(MID(K111,5,99)),IF(LEN(K111)=5,LEFT(K111,2)&amp;"."&amp;RIGHT(K111,3),K111)),verfvoorraad!E:E,verfvoorraad!G:G),"Niet gevonden")))</f>
        <v/>
      </c>
      <c r="Q111" t="str">
        <f t="shared" si="2"/>
        <v/>
      </c>
      <c r="R111" t="str">
        <f t="shared" si="3"/>
        <v/>
      </c>
    </row>
    <row r="112" spans="6:18" x14ac:dyDescent="0.25">
      <c r="F112"/>
      <c r="G112" s="20"/>
      <c r="H112" s="21"/>
      <c r="K112" s="23"/>
      <c r="L112" t="str">
        <f>IF(K112="","",IFERROR(_xlfn.XLOOKUP(K112,verfvoorraad!C:C,verfvoorraad!B:B),IFERROR(_xlfn.XLOOKUP(IF(LEFT(UPPER(K112),4)="REV-","REV-"&amp;VALUE(MID(K112,5,99)),IF(LEN(K112)=5,LEFT(K112,2)&amp;"."&amp;RIGHT(K112,3),K112)),verfvoorraad!E:E,verfvoorraad!B:B),"Niet gevonden")))</f>
        <v/>
      </c>
      <c r="M112" t="str">
        <f>IF(K112="","",IFERROR(_xlfn.XLOOKUP(K112,verfvoorraad!C:C,verfvoorraad!D:D),IFERROR(_xlfn.XLOOKUP(IF(LEFT(UPPER(K112),4)="REV-","REV-"&amp;VALUE(MID(K112,5,99)),IF(LEN(K112)=5,LEFT(K112,2)&amp;"."&amp;RIGHT(K112,3),K112)),verfvoorraad!E:E,verfvoorraad!D:D),"Niet gevonden")))</f>
        <v/>
      </c>
      <c r="N112" t="str">
        <f>IF(K112="","",IFERROR(_xlfn.XLOOKUP(K112,verfvoorraad!C:C,verfvoorraad!E:E),IFERROR(_xlfn.XLOOKUP(IF(LEFT(UPPER(K112),4)="REV-","REV-"&amp;VALUE(MID(K112,5,99)),IF(LEN(K112)=5,LEFT(K112,2)&amp;"."&amp;RIGHT(K112,3),K112)),verfvoorraad!E:E,verfvoorraad!E:E),"Niet gevonden")))</f>
        <v/>
      </c>
      <c r="O112" t="str">
        <f>IF(K112="","",IFERROR(_xlfn.XLOOKUP(K112,verfvoorraad!C:C,verfvoorraad!F:F),IFERROR(_xlfn.XLOOKUP(IF(LEFT(UPPER(K112),4)="REV-","REV-"&amp;VALUE(MID(K112,5,99)),IF(LEN(K112)=5,LEFT(K112,2)&amp;"."&amp;RIGHT(K112,3),K112)),verfvoorraad!E:E,verfvoorraad!F:F),"Niet gevonden")))</f>
        <v/>
      </c>
      <c r="P112" t="str">
        <f>IF(K112="","",IFERROR(_xlfn.XLOOKUP(K112,verfvoorraad!C:C,verfvoorraad!G:G),IFERROR(_xlfn.XLOOKUP(IF(LEFT(UPPER(K112),4)="REV-","REV-"&amp;VALUE(MID(K112,5,99)),IF(LEN(K112)=5,LEFT(K112,2)&amp;"."&amp;RIGHT(K112,3),K112)),verfvoorraad!E:E,verfvoorraad!G:G),"Niet gevonden")))</f>
        <v/>
      </c>
      <c r="Q112" t="str">
        <f t="shared" si="2"/>
        <v/>
      </c>
      <c r="R112" t="str">
        <f t="shared" si="3"/>
        <v/>
      </c>
    </row>
    <row r="113" spans="6:18" x14ac:dyDescent="0.25">
      <c r="F113"/>
      <c r="G113" s="20"/>
      <c r="H113" s="21"/>
      <c r="K113" s="23"/>
      <c r="L113" t="str">
        <f>IF(K113="","",IFERROR(_xlfn.XLOOKUP(K113,verfvoorraad!C:C,verfvoorraad!B:B),IFERROR(_xlfn.XLOOKUP(IF(LEFT(UPPER(K113),4)="REV-","REV-"&amp;VALUE(MID(K113,5,99)),IF(LEN(K113)=5,LEFT(K113,2)&amp;"."&amp;RIGHT(K113,3),K113)),verfvoorraad!E:E,verfvoorraad!B:B),"Niet gevonden")))</f>
        <v/>
      </c>
      <c r="M113" t="str">
        <f>IF(K113="","",IFERROR(_xlfn.XLOOKUP(K113,verfvoorraad!C:C,verfvoorraad!D:D),IFERROR(_xlfn.XLOOKUP(IF(LEFT(UPPER(K113),4)="REV-","REV-"&amp;VALUE(MID(K113,5,99)),IF(LEN(K113)=5,LEFT(K113,2)&amp;"."&amp;RIGHT(K113,3),K113)),verfvoorraad!E:E,verfvoorraad!D:D),"Niet gevonden")))</f>
        <v/>
      </c>
      <c r="N113" t="str">
        <f>IF(K113="","",IFERROR(_xlfn.XLOOKUP(K113,verfvoorraad!C:C,verfvoorraad!E:E),IFERROR(_xlfn.XLOOKUP(IF(LEFT(UPPER(K113),4)="REV-","REV-"&amp;VALUE(MID(K113,5,99)),IF(LEN(K113)=5,LEFT(K113,2)&amp;"."&amp;RIGHT(K113,3),K113)),verfvoorraad!E:E,verfvoorraad!E:E),"Niet gevonden")))</f>
        <v/>
      </c>
      <c r="O113" t="str">
        <f>IF(K113="","",IFERROR(_xlfn.XLOOKUP(K113,verfvoorraad!C:C,verfvoorraad!F:F),IFERROR(_xlfn.XLOOKUP(IF(LEFT(UPPER(K113),4)="REV-","REV-"&amp;VALUE(MID(K113,5,99)),IF(LEN(K113)=5,LEFT(K113,2)&amp;"."&amp;RIGHT(K113,3),K113)),verfvoorraad!E:E,verfvoorraad!F:F),"Niet gevonden")))</f>
        <v/>
      </c>
      <c r="P113" t="str">
        <f>IF(K113="","",IFERROR(_xlfn.XLOOKUP(K113,verfvoorraad!C:C,verfvoorraad!G:G),IFERROR(_xlfn.XLOOKUP(IF(LEFT(UPPER(K113),4)="REV-","REV-"&amp;VALUE(MID(K113,5,99)),IF(LEN(K113)=5,LEFT(K113,2)&amp;"."&amp;RIGHT(K113,3),K113)),verfvoorraad!E:E,verfvoorraad!G:G),"Niet gevonden")))</f>
        <v/>
      </c>
      <c r="Q113" t="str">
        <f t="shared" si="2"/>
        <v/>
      </c>
      <c r="R113" t="str">
        <f t="shared" si="3"/>
        <v/>
      </c>
    </row>
    <row r="114" spans="6:18" x14ac:dyDescent="0.25">
      <c r="F114"/>
      <c r="G114" s="20"/>
      <c r="H114" s="21"/>
      <c r="K114" s="23"/>
      <c r="L114" t="str">
        <f>IF(K114="","",IFERROR(_xlfn.XLOOKUP(K114,verfvoorraad!C:C,verfvoorraad!B:B),IFERROR(_xlfn.XLOOKUP(IF(LEFT(UPPER(K114),4)="REV-","REV-"&amp;VALUE(MID(K114,5,99)),IF(LEN(K114)=5,LEFT(K114,2)&amp;"."&amp;RIGHT(K114,3),K114)),verfvoorraad!E:E,verfvoorraad!B:B),"Niet gevonden")))</f>
        <v/>
      </c>
      <c r="M114" t="str">
        <f>IF(K114="","",IFERROR(_xlfn.XLOOKUP(K114,verfvoorraad!C:C,verfvoorraad!D:D),IFERROR(_xlfn.XLOOKUP(IF(LEFT(UPPER(K114),4)="REV-","REV-"&amp;VALUE(MID(K114,5,99)),IF(LEN(K114)=5,LEFT(K114,2)&amp;"."&amp;RIGHT(K114,3),K114)),verfvoorraad!E:E,verfvoorraad!D:D),"Niet gevonden")))</f>
        <v/>
      </c>
      <c r="N114" t="str">
        <f>IF(K114="","",IFERROR(_xlfn.XLOOKUP(K114,verfvoorraad!C:C,verfvoorraad!E:E),IFERROR(_xlfn.XLOOKUP(IF(LEFT(UPPER(K114),4)="REV-","REV-"&amp;VALUE(MID(K114,5,99)),IF(LEN(K114)=5,LEFT(K114,2)&amp;"."&amp;RIGHT(K114,3),K114)),verfvoorraad!E:E,verfvoorraad!E:E),"Niet gevonden")))</f>
        <v/>
      </c>
      <c r="O114" t="str">
        <f>IF(K114="","",IFERROR(_xlfn.XLOOKUP(K114,verfvoorraad!C:C,verfvoorraad!F:F),IFERROR(_xlfn.XLOOKUP(IF(LEFT(UPPER(K114),4)="REV-","REV-"&amp;VALUE(MID(K114,5,99)),IF(LEN(K114)=5,LEFT(K114,2)&amp;"."&amp;RIGHT(K114,3),K114)),verfvoorraad!E:E,verfvoorraad!F:F),"Niet gevonden")))</f>
        <v/>
      </c>
      <c r="P114" t="str">
        <f>IF(K114="","",IFERROR(_xlfn.XLOOKUP(K114,verfvoorraad!C:C,verfvoorraad!G:G),IFERROR(_xlfn.XLOOKUP(IF(LEFT(UPPER(K114),4)="REV-","REV-"&amp;VALUE(MID(K114,5,99)),IF(LEN(K114)=5,LEFT(K114,2)&amp;"."&amp;RIGHT(K114,3),K114)),verfvoorraad!E:E,verfvoorraad!G:G),"Niet gevonden")))</f>
        <v/>
      </c>
      <c r="Q114" t="str">
        <f t="shared" si="2"/>
        <v/>
      </c>
      <c r="R114" t="str">
        <f t="shared" si="3"/>
        <v/>
      </c>
    </row>
    <row r="115" spans="6:18" x14ac:dyDescent="0.25">
      <c r="F115"/>
      <c r="G115" s="20"/>
      <c r="H115" s="21"/>
      <c r="K115" s="23"/>
      <c r="L115" t="str">
        <f>IF(K115="","",IFERROR(_xlfn.XLOOKUP(K115,verfvoorraad!C:C,verfvoorraad!B:B),IFERROR(_xlfn.XLOOKUP(IF(LEFT(UPPER(K115),4)="REV-","REV-"&amp;VALUE(MID(K115,5,99)),IF(LEN(K115)=5,LEFT(K115,2)&amp;"."&amp;RIGHT(K115,3),K115)),verfvoorraad!E:E,verfvoorraad!B:B),"Niet gevonden")))</f>
        <v/>
      </c>
      <c r="M115" t="str">
        <f>IF(K115="","",IFERROR(_xlfn.XLOOKUP(K115,verfvoorraad!C:C,verfvoorraad!D:D),IFERROR(_xlfn.XLOOKUP(IF(LEFT(UPPER(K115),4)="REV-","REV-"&amp;VALUE(MID(K115,5,99)),IF(LEN(K115)=5,LEFT(K115,2)&amp;"."&amp;RIGHT(K115,3),K115)),verfvoorraad!E:E,verfvoorraad!D:D),"Niet gevonden")))</f>
        <v/>
      </c>
      <c r="N115" t="str">
        <f>IF(K115="","",IFERROR(_xlfn.XLOOKUP(K115,verfvoorraad!C:C,verfvoorraad!E:E),IFERROR(_xlfn.XLOOKUP(IF(LEFT(UPPER(K115),4)="REV-","REV-"&amp;VALUE(MID(K115,5,99)),IF(LEN(K115)=5,LEFT(K115,2)&amp;"."&amp;RIGHT(K115,3),K115)),verfvoorraad!E:E,verfvoorraad!E:E),"Niet gevonden")))</f>
        <v/>
      </c>
      <c r="O115" t="str">
        <f>IF(K115="","",IFERROR(_xlfn.XLOOKUP(K115,verfvoorraad!C:C,verfvoorraad!F:F),IFERROR(_xlfn.XLOOKUP(IF(LEFT(UPPER(K115),4)="REV-","REV-"&amp;VALUE(MID(K115,5,99)),IF(LEN(K115)=5,LEFT(K115,2)&amp;"."&amp;RIGHT(K115,3),K115)),verfvoorraad!E:E,verfvoorraad!F:F),"Niet gevonden")))</f>
        <v/>
      </c>
      <c r="P115" t="str">
        <f>IF(K115="","",IFERROR(_xlfn.XLOOKUP(K115,verfvoorraad!C:C,verfvoorraad!G:G),IFERROR(_xlfn.XLOOKUP(IF(LEFT(UPPER(K115),4)="REV-","REV-"&amp;VALUE(MID(K115,5,99)),IF(LEN(K115)=5,LEFT(K115,2)&amp;"."&amp;RIGHT(K115,3),K115)),verfvoorraad!E:E,verfvoorraad!G:G),"Niet gevonden")))</f>
        <v/>
      </c>
      <c r="Q115" t="str">
        <f t="shared" si="2"/>
        <v/>
      </c>
      <c r="R115" t="str">
        <f t="shared" si="3"/>
        <v/>
      </c>
    </row>
    <row r="116" spans="6:18" x14ac:dyDescent="0.25">
      <c r="F116"/>
      <c r="G116" s="20"/>
      <c r="H116" s="21"/>
      <c r="K116" s="23"/>
      <c r="L116" t="str">
        <f>IF(K116="","",IFERROR(_xlfn.XLOOKUP(K116,verfvoorraad!C:C,verfvoorraad!B:B),IFERROR(_xlfn.XLOOKUP(IF(LEFT(UPPER(K116),4)="REV-","REV-"&amp;VALUE(MID(K116,5,99)),IF(LEN(K116)=5,LEFT(K116,2)&amp;"."&amp;RIGHT(K116,3),K116)),verfvoorraad!E:E,verfvoorraad!B:B),"Niet gevonden")))</f>
        <v/>
      </c>
      <c r="M116" t="str">
        <f>IF(K116="","",IFERROR(_xlfn.XLOOKUP(K116,verfvoorraad!C:C,verfvoorraad!D:D),IFERROR(_xlfn.XLOOKUP(IF(LEFT(UPPER(K116),4)="REV-","REV-"&amp;VALUE(MID(K116,5,99)),IF(LEN(K116)=5,LEFT(K116,2)&amp;"."&amp;RIGHT(K116,3),K116)),verfvoorraad!E:E,verfvoorraad!D:D),"Niet gevonden")))</f>
        <v/>
      </c>
      <c r="N116" t="str">
        <f>IF(K116="","",IFERROR(_xlfn.XLOOKUP(K116,verfvoorraad!C:C,verfvoorraad!E:E),IFERROR(_xlfn.XLOOKUP(IF(LEFT(UPPER(K116),4)="REV-","REV-"&amp;VALUE(MID(K116,5,99)),IF(LEN(K116)=5,LEFT(K116,2)&amp;"."&amp;RIGHT(K116,3),K116)),verfvoorraad!E:E,verfvoorraad!E:E),"Niet gevonden")))</f>
        <v/>
      </c>
      <c r="O116" t="str">
        <f>IF(K116="","",IFERROR(_xlfn.XLOOKUP(K116,verfvoorraad!C:C,verfvoorraad!F:F),IFERROR(_xlfn.XLOOKUP(IF(LEFT(UPPER(K116),4)="REV-","REV-"&amp;VALUE(MID(K116,5,99)),IF(LEN(K116)=5,LEFT(K116,2)&amp;"."&amp;RIGHT(K116,3),K116)),verfvoorraad!E:E,verfvoorraad!F:F),"Niet gevonden")))</f>
        <v/>
      </c>
      <c r="P116" t="str">
        <f>IF(K116="","",IFERROR(_xlfn.XLOOKUP(K116,verfvoorraad!C:C,verfvoorraad!G:G),IFERROR(_xlfn.XLOOKUP(IF(LEFT(UPPER(K116),4)="REV-","REV-"&amp;VALUE(MID(K116,5,99)),IF(LEN(K116)=5,LEFT(K116,2)&amp;"."&amp;RIGHT(K116,3),K116)),verfvoorraad!E:E,verfvoorraad!G:G),"Niet gevonden")))</f>
        <v/>
      </c>
      <c r="Q116" t="str">
        <f t="shared" si="2"/>
        <v/>
      </c>
      <c r="R116" t="str">
        <f t="shared" si="3"/>
        <v/>
      </c>
    </row>
    <row r="117" spans="6:18" x14ac:dyDescent="0.25">
      <c r="F117"/>
      <c r="G117" s="20"/>
      <c r="H117" s="21"/>
      <c r="K117" s="23"/>
      <c r="L117" t="str">
        <f>IF(K117="","",IFERROR(_xlfn.XLOOKUP(K117,verfvoorraad!C:C,verfvoorraad!B:B),IFERROR(_xlfn.XLOOKUP(IF(LEFT(UPPER(K117),4)="REV-","REV-"&amp;VALUE(MID(K117,5,99)),IF(LEN(K117)=5,LEFT(K117,2)&amp;"."&amp;RIGHT(K117,3),K117)),verfvoorraad!E:E,verfvoorraad!B:B),"Niet gevonden")))</f>
        <v/>
      </c>
      <c r="M117" t="str">
        <f>IF(K117="","",IFERROR(_xlfn.XLOOKUP(K117,verfvoorraad!C:C,verfvoorraad!D:D),IFERROR(_xlfn.XLOOKUP(IF(LEFT(UPPER(K117),4)="REV-","REV-"&amp;VALUE(MID(K117,5,99)),IF(LEN(K117)=5,LEFT(K117,2)&amp;"."&amp;RIGHT(K117,3),K117)),verfvoorraad!E:E,verfvoorraad!D:D),"Niet gevonden")))</f>
        <v/>
      </c>
      <c r="N117" t="str">
        <f>IF(K117="","",IFERROR(_xlfn.XLOOKUP(K117,verfvoorraad!C:C,verfvoorraad!E:E),IFERROR(_xlfn.XLOOKUP(IF(LEFT(UPPER(K117),4)="REV-","REV-"&amp;VALUE(MID(K117,5,99)),IF(LEN(K117)=5,LEFT(K117,2)&amp;"."&amp;RIGHT(K117,3),K117)),verfvoorraad!E:E,verfvoorraad!E:E),"Niet gevonden")))</f>
        <v/>
      </c>
      <c r="O117" t="str">
        <f>IF(K117="","",IFERROR(_xlfn.XLOOKUP(K117,verfvoorraad!C:C,verfvoorraad!F:F),IFERROR(_xlfn.XLOOKUP(IF(LEFT(UPPER(K117),4)="REV-","REV-"&amp;VALUE(MID(K117,5,99)),IF(LEN(K117)=5,LEFT(K117,2)&amp;"."&amp;RIGHT(K117,3),K117)),verfvoorraad!E:E,verfvoorraad!F:F),"Niet gevonden")))</f>
        <v/>
      </c>
      <c r="P117" t="str">
        <f>IF(K117="","",IFERROR(_xlfn.XLOOKUP(K117,verfvoorraad!C:C,verfvoorraad!G:G),IFERROR(_xlfn.XLOOKUP(IF(LEFT(UPPER(K117),4)="REV-","REV-"&amp;VALUE(MID(K117,5,99)),IF(LEN(K117)=5,LEFT(K117,2)&amp;"."&amp;RIGHT(K117,3),K117)),verfvoorraad!E:E,verfvoorraad!G:G),"Niet gevonden")))</f>
        <v/>
      </c>
      <c r="Q117" t="str">
        <f t="shared" si="2"/>
        <v/>
      </c>
      <c r="R117" t="str">
        <f t="shared" si="3"/>
        <v/>
      </c>
    </row>
    <row r="118" spans="6:18" x14ac:dyDescent="0.25">
      <c r="F118"/>
      <c r="G118" s="20"/>
      <c r="H118" s="21"/>
      <c r="K118" s="23"/>
      <c r="L118" t="str">
        <f>IF(K118="","",IFERROR(_xlfn.XLOOKUP(K118,verfvoorraad!C:C,verfvoorraad!B:B),IFERROR(_xlfn.XLOOKUP(IF(LEFT(UPPER(K118),4)="REV-","REV-"&amp;VALUE(MID(K118,5,99)),IF(LEN(K118)=5,LEFT(K118,2)&amp;"."&amp;RIGHT(K118,3),K118)),verfvoorraad!E:E,verfvoorraad!B:B),"Niet gevonden")))</f>
        <v/>
      </c>
      <c r="M118" t="str">
        <f>IF(K118="","",IFERROR(_xlfn.XLOOKUP(K118,verfvoorraad!C:C,verfvoorraad!D:D),IFERROR(_xlfn.XLOOKUP(IF(LEFT(UPPER(K118),4)="REV-","REV-"&amp;VALUE(MID(K118,5,99)),IF(LEN(K118)=5,LEFT(K118,2)&amp;"."&amp;RIGHT(K118,3),K118)),verfvoorraad!E:E,verfvoorraad!D:D),"Niet gevonden")))</f>
        <v/>
      </c>
      <c r="N118" t="str">
        <f>IF(K118="","",IFERROR(_xlfn.XLOOKUP(K118,verfvoorraad!C:C,verfvoorraad!E:E),IFERROR(_xlfn.XLOOKUP(IF(LEFT(UPPER(K118),4)="REV-","REV-"&amp;VALUE(MID(K118,5,99)),IF(LEN(K118)=5,LEFT(K118,2)&amp;"."&amp;RIGHT(K118,3),K118)),verfvoorraad!E:E,verfvoorraad!E:E),"Niet gevonden")))</f>
        <v/>
      </c>
      <c r="O118" t="str">
        <f>IF(K118="","",IFERROR(_xlfn.XLOOKUP(K118,verfvoorraad!C:C,verfvoorraad!F:F),IFERROR(_xlfn.XLOOKUP(IF(LEFT(UPPER(K118),4)="REV-","REV-"&amp;VALUE(MID(K118,5,99)),IF(LEN(K118)=5,LEFT(K118,2)&amp;"."&amp;RIGHT(K118,3),K118)),verfvoorraad!E:E,verfvoorraad!F:F),"Niet gevonden")))</f>
        <v/>
      </c>
      <c r="P118" t="str">
        <f>IF(K118="","",IFERROR(_xlfn.XLOOKUP(K118,verfvoorraad!C:C,verfvoorraad!G:G),IFERROR(_xlfn.XLOOKUP(IF(LEFT(UPPER(K118),4)="REV-","REV-"&amp;VALUE(MID(K118,5,99)),IF(LEN(K118)=5,LEFT(K118,2)&amp;"."&amp;RIGHT(K118,3),K118)),verfvoorraad!E:E,verfvoorraad!G:G),"Niet gevonden")))</f>
        <v/>
      </c>
      <c r="Q118" t="str">
        <f t="shared" si="2"/>
        <v/>
      </c>
      <c r="R118" t="str">
        <f t="shared" si="3"/>
        <v/>
      </c>
    </row>
    <row r="119" spans="6:18" x14ac:dyDescent="0.25">
      <c r="F119"/>
      <c r="G119" s="20"/>
      <c r="H119" s="21"/>
      <c r="K119" s="23"/>
      <c r="L119" t="str">
        <f>IF(K119="","",IFERROR(_xlfn.XLOOKUP(K119,verfvoorraad!C:C,verfvoorraad!B:B),IFERROR(_xlfn.XLOOKUP(IF(LEFT(UPPER(K119),4)="REV-","REV-"&amp;VALUE(MID(K119,5,99)),IF(LEN(K119)=5,LEFT(K119,2)&amp;"."&amp;RIGHT(K119,3),K119)),verfvoorraad!E:E,verfvoorraad!B:B),"Niet gevonden")))</f>
        <v/>
      </c>
      <c r="M119" t="str">
        <f>IF(K119="","",IFERROR(_xlfn.XLOOKUP(K119,verfvoorraad!C:C,verfvoorraad!D:D),IFERROR(_xlfn.XLOOKUP(IF(LEFT(UPPER(K119),4)="REV-","REV-"&amp;VALUE(MID(K119,5,99)),IF(LEN(K119)=5,LEFT(K119,2)&amp;"."&amp;RIGHT(K119,3),K119)),verfvoorraad!E:E,verfvoorraad!D:D),"Niet gevonden")))</f>
        <v/>
      </c>
      <c r="N119" t="str">
        <f>IF(K119="","",IFERROR(_xlfn.XLOOKUP(K119,verfvoorraad!C:C,verfvoorraad!E:E),IFERROR(_xlfn.XLOOKUP(IF(LEFT(UPPER(K119),4)="REV-","REV-"&amp;VALUE(MID(K119,5,99)),IF(LEN(K119)=5,LEFT(K119,2)&amp;"."&amp;RIGHT(K119,3),K119)),verfvoorraad!E:E,verfvoorraad!E:E),"Niet gevonden")))</f>
        <v/>
      </c>
      <c r="O119" t="str">
        <f>IF(K119="","",IFERROR(_xlfn.XLOOKUP(K119,verfvoorraad!C:C,verfvoorraad!F:F),IFERROR(_xlfn.XLOOKUP(IF(LEFT(UPPER(K119),4)="REV-","REV-"&amp;VALUE(MID(K119,5,99)),IF(LEN(K119)=5,LEFT(K119,2)&amp;"."&amp;RIGHT(K119,3),K119)),verfvoorraad!E:E,verfvoorraad!F:F),"Niet gevonden")))</f>
        <v/>
      </c>
      <c r="P119" t="str">
        <f>IF(K119="","",IFERROR(_xlfn.XLOOKUP(K119,verfvoorraad!C:C,verfvoorraad!G:G),IFERROR(_xlfn.XLOOKUP(IF(LEFT(UPPER(K119),4)="REV-","REV-"&amp;VALUE(MID(K119,5,99)),IF(LEN(K119)=5,LEFT(K119,2)&amp;"."&amp;RIGHT(K119,3),K119)),verfvoorraad!E:E,verfvoorraad!G:G),"Niet gevonden")))</f>
        <v/>
      </c>
      <c r="Q119" t="str">
        <f t="shared" si="2"/>
        <v/>
      </c>
      <c r="R119" t="str">
        <f t="shared" si="3"/>
        <v/>
      </c>
    </row>
    <row r="120" spans="6:18" x14ac:dyDescent="0.25">
      <c r="F120"/>
      <c r="G120" s="20"/>
      <c r="H120" s="21"/>
      <c r="K120" s="23"/>
      <c r="L120" t="str">
        <f>IF(K120="","",IFERROR(_xlfn.XLOOKUP(K120,verfvoorraad!C:C,verfvoorraad!B:B),IFERROR(_xlfn.XLOOKUP(IF(LEFT(UPPER(K120),4)="REV-","REV-"&amp;VALUE(MID(K120,5,99)),IF(LEN(K120)=5,LEFT(K120,2)&amp;"."&amp;RIGHT(K120,3),K120)),verfvoorraad!E:E,verfvoorraad!B:B),"Niet gevonden")))</f>
        <v/>
      </c>
      <c r="M120" t="str">
        <f>IF(K120="","",IFERROR(_xlfn.XLOOKUP(K120,verfvoorraad!C:C,verfvoorraad!D:D),IFERROR(_xlfn.XLOOKUP(IF(LEFT(UPPER(K120),4)="REV-","REV-"&amp;VALUE(MID(K120,5,99)),IF(LEN(K120)=5,LEFT(K120,2)&amp;"."&amp;RIGHT(K120,3),K120)),verfvoorraad!E:E,verfvoorraad!D:D),"Niet gevonden")))</f>
        <v/>
      </c>
      <c r="N120" t="str">
        <f>IF(K120="","",IFERROR(_xlfn.XLOOKUP(K120,verfvoorraad!C:C,verfvoorraad!E:E),IFERROR(_xlfn.XLOOKUP(IF(LEFT(UPPER(K120),4)="REV-","REV-"&amp;VALUE(MID(K120,5,99)),IF(LEN(K120)=5,LEFT(K120,2)&amp;"."&amp;RIGHT(K120,3),K120)),verfvoorraad!E:E,verfvoorraad!E:E),"Niet gevonden")))</f>
        <v/>
      </c>
      <c r="O120" t="str">
        <f>IF(K120="","",IFERROR(_xlfn.XLOOKUP(K120,verfvoorraad!C:C,verfvoorraad!F:F),IFERROR(_xlfn.XLOOKUP(IF(LEFT(UPPER(K120),4)="REV-","REV-"&amp;VALUE(MID(K120,5,99)),IF(LEN(K120)=5,LEFT(K120,2)&amp;"."&amp;RIGHT(K120,3),K120)),verfvoorraad!E:E,verfvoorraad!F:F),"Niet gevonden")))</f>
        <v/>
      </c>
      <c r="P120" t="str">
        <f>IF(K120="","",IFERROR(_xlfn.XLOOKUP(K120,verfvoorraad!C:C,verfvoorraad!G:G),IFERROR(_xlfn.XLOOKUP(IF(LEFT(UPPER(K120),4)="REV-","REV-"&amp;VALUE(MID(K120,5,99)),IF(LEN(K120)=5,LEFT(K120,2)&amp;"."&amp;RIGHT(K120,3),K120)),verfvoorraad!E:E,verfvoorraad!G:G),"Niet gevonden")))</f>
        <v/>
      </c>
      <c r="Q120" t="str">
        <f t="shared" si="2"/>
        <v/>
      </c>
      <c r="R120" t="str">
        <f t="shared" si="3"/>
        <v/>
      </c>
    </row>
    <row r="121" spans="6:18" x14ac:dyDescent="0.25">
      <c r="F121"/>
      <c r="G121" s="20"/>
      <c r="H121" s="21"/>
      <c r="K121" s="23"/>
      <c r="L121" t="str">
        <f>IF(K121="","",IFERROR(_xlfn.XLOOKUP(K121,verfvoorraad!C:C,verfvoorraad!B:B),IFERROR(_xlfn.XLOOKUP(IF(LEFT(UPPER(K121),4)="REV-","REV-"&amp;VALUE(MID(K121,5,99)),IF(LEN(K121)=5,LEFT(K121,2)&amp;"."&amp;RIGHT(K121,3),K121)),verfvoorraad!E:E,verfvoorraad!B:B),"Niet gevonden")))</f>
        <v/>
      </c>
      <c r="M121" t="str">
        <f>IF(K121="","",IFERROR(_xlfn.XLOOKUP(K121,verfvoorraad!C:C,verfvoorraad!D:D),IFERROR(_xlfn.XLOOKUP(IF(LEFT(UPPER(K121),4)="REV-","REV-"&amp;VALUE(MID(K121,5,99)),IF(LEN(K121)=5,LEFT(K121,2)&amp;"."&amp;RIGHT(K121,3),K121)),verfvoorraad!E:E,verfvoorraad!D:D),"Niet gevonden")))</f>
        <v/>
      </c>
      <c r="N121" t="str">
        <f>IF(K121="","",IFERROR(_xlfn.XLOOKUP(K121,verfvoorraad!C:C,verfvoorraad!E:E),IFERROR(_xlfn.XLOOKUP(IF(LEFT(UPPER(K121),4)="REV-","REV-"&amp;VALUE(MID(K121,5,99)),IF(LEN(K121)=5,LEFT(K121,2)&amp;"."&amp;RIGHT(K121,3),K121)),verfvoorraad!E:E,verfvoorraad!E:E),"Niet gevonden")))</f>
        <v/>
      </c>
      <c r="O121" t="str">
        <f>IF(K121="","",IFERROR(_xlfn.XLOOKUP(K121,verfvoorraad!C:C,verfvoorraad!F:F),IFERROR(_xlfn.XLOOKUP(IF(LEFT(UPPER(K121),4)="REV-","REV-"&amp;VALUE(MID(K121,5,99)),IF(LEN(K121)=5,LEFT(K121,2)&amp;"."&amp;RIGHT(K121,3),K121)),verfvoorraad!E:E,verfvoorraad!F:F),"Niet gevonden")))</f>
        <v/>
      </c>
      <c r="P121" t="str">
        <f>IF(K121="","",IFERROR(_xlfn.XLOOKUP(K121,verfvoorraad!C:C,verfvoorraad!G:G),IFERROR(_xlfn.XLOOKUP(IF(LEFT(UPPER(K121),4)="REV-","REV-"&amp;VALUE(MID(K121,5,99)),IF(LEN(K121)=5,LEFT(K121,2)&amp;"."&amp;RIGHT(K121,3),K121)),verfvoorraad!E:E,verfvoorraad!G:G),"Niet gevonden")))</f>
        <v/>
      </c>
      <c r="Q121" t="str">
        <f t="shared" si="2"/>
        <v/>
      </c>
      <c r="R121" t="str">
        <f t="shared" si="3"/>
        <v/>
      </c>
    </row>
    <row r="122" spans="6:18" x14ac:dyDescent="0.25">
      <c r="F122"/>
      <c r="G122" s="20"/>
      <c r="H122" s="21"/>
      <c r="K122" s="23"/>
      <c r="L122" t="str">
        <f>IF(K122="","",IFERROR(_xlfn.XLOOKUP(K122,verfvoorraad!C:C,verfvoorraad!B:B),IFERROR(_xlfn.XLOOKUP(IF(LEFT(UPPER(K122),4)="REV-","REV-"&amp;VALUE(MID(K122,5,99)),IF(LEN(K122)=5,LEFT(K122,2)&amp;"."&amp;RIGHT(K122,3),K122)),verfvoorraad!E:E,verfvoorraad!B:B),"Niet gevonden")))</f>
        <v/>
      </c>
      <c r="M122" t="str">
        <f>IF(K122="","",IFERROR(_xlfn.XLOOKUP(K122,verfvoorraad!C:C,verfvoorraad!D:D),IFERROR(_xlfn.XLOOKUP(IF(LEFT(UPPER(K122),4)="REV-","REV-"&amp;VALUE(MID(K122,5,99)),IF(LEN(K122)=5,LEFT(K122,2)&amp;"."&amp;RIGHT(K122,3),K122)),verfvoorraad!E:E,verfvoorraad!D:D),"Niet gevonden")))</f>
        <v/>
      </c>
      <c r="N122" t="str">
        <f>IF(K122="","",IFERROR(_xlfn.XLOOKUP(K122,verfvoorraad!C:C,verfvoorraad!E:E),IFERROR(_xlfn.XLOOKUP(IF(LEFT(UPPER(K122),4)="REV-","REV-"&amp;VALUE(MID(K122,5,99)),IF(LEN(K122)=5,LEFT(K122,2)&amp;"."&amp;RIGHT(K122,3),K122)),verfvoorraad!E:E,verfvoorraad!E:E),"Niet gevonden")))</f>
        <v/>
      </c>
      <c r="O122" t="str">
        <f>IF(K122="","",IFERROR(_xlfn.XLOOKUP(K122,verfvoorraad!C:C,verfvoorraad!F:F),IFERROR(_xlfn.XLOOKUP(IF(LEFT(UPPER(K122),4)="REV-","REV-"&amp;VALUE(MID(K122,5,99)),IF(LEN(K122)=5,LEFT(K122,2)&amp;"."&amp;RIGHT(K122,3),K122)),verfvoorraad!E:E,verfvoorraad!F:F),"Niet gevonden")))</f>
        <v/>
      </c>
      <c r="P122" t="str">
        <f>IF(K122="","",IFERROR(_xlfn.XLOOKUP(K122,verfvoorraad!C:C,verfvoorraad!G:G),IFERROR(_xlfn.XLOOKUP(IF(LEFT(UPPER(K122),4)="REV-","REV-"&amp;VALUE(MID(K122,5,99)),IF(LEN(K122)=5,LEFT(K122,2)&amp;"."&amp;RIGHT(K122,3),K122)),verfvoorraad!E:E,verfvoorraad!G:G),"Niet gevonden")))</f>
        <v/>
      </c>
      <c r="Q122" t="str">
        <f t="shared" si="2"/>
        <v/>
      </c>
      <c r="R122" t="str">
        <f t="shared" si="3"/>
        <v/>
      </c>
    </row>
    <row r="123" spans="6:18" x14ac:dyDescent="0.25">
      <c r="F123"/>
      <c r="G123" s="20"/>
      <c r="H123" s="21"/>
      <c r="K123" s="23"/>
      <c r="L123" t="str">
        <f>IF(K123="","",IFERROR(_xlfn.XLOOKUP(K123,verfvoorraad!C:C,verfvoorraad!B:B),IFERROR(_xlfn.XLOOKUP(IF(LEFT(UPPER(K123),4)="REV-","REV-"&amp;VALUE(MID(K123,5,99)),IF(LEN(K123)=5,LEFT(K123,2)&amp;"."&amp;RIGHT(K123,3),K123)),verfvoorraad!E:E,verfvoorraad!B:B),"Niet gevonden")))</f>
        <v/>
      </c>
      <c r="M123" t="str">
        <f>IF(K123="","",IFERROR(_xlfn.XLOOKUP(K123,verfvoorraad!C:C,verfvoorraad!D:D),IFERROR(_xlfn.XLOOKUP(IF(LEFT(UPPER(K123),4)="REV-","REV-"&amp;VALUE(MID(K123,5,99)),IF(LEN(K123)=5,LEFT(K123,2)&amp;"."&amp;RIGHT(K123,3),K123)),verfvoorraad!E:E,verfvoorraad!D:D),"Niet gevonden")))</f>
        <v/>
      </c>
      <c r="N123" t="str">
        <f>IF(K123="","",IFERROR(_xlfn.XLOOKUP(K123,verfvoorraad!C:C,verfvoorraad!E:E),IFERROR(_xlfn.XLOOKUP(IF(LEFT(UPPER(K123),4)="REV-","REV-"&amp;VALUE(MID(K123,5,99)),IF(LEN(K123)=5,LEFT(K123,2)&amp;"."&amp;RIGHT(K123,3),K123)),verfvoorraad!E:E,verfvoorraad!E:E),"Niet gevonden")))</f>
        <v/>
      </c>
      <c r="O123" t="str">
        <f>IF(K123="","",IFERROR(_xlfn.XLOOKUP(K123,verfvoorraad!C:C,verfvoorraad!F:F),IFERROR(_xlfn.XLOOKUP(IF(LEFT(UPPER(K123),4)="REV-","REV-"&amp;VALUE(MID(K123,5,99)),IF(LEN(K123)=5,LEFT(K123,2)&amp;"."&amp;RIGHT(K123,3),K123)),verfvoorraad!E:E,verfvoorraad!F:F),"Niet gevonden")))</f>
        <v/>
      </c>
      <c r="P123" t="str">
        <f>IF(K123="","",IFERROR(_xlfn.XLOOKUP(K123,verfvoorraad!C:C,verfvoorraad!G:G),IFERROR(_xlfn.XLOOKUP(IF(LEFT(UPPER(K123),4)="REV-","REV-"&amp;VALUE(MID(K123,5,99)),IF(LEN(K123)=5,LEFT(K123,2)&amp;"."&amp;RIGHT(K123,3),K123)),verfvoorraad!E:E,verfvoorraad!G:G),"Niet gevonden")))</f>
        <v/>
      </c>
      <c r="Q123" t="str">
        <f t="shared" si="2"/>
        <v/>
      </c>
      <c r="R123" t="str">
        <f t="shared" si="3"/>
        <v/>
      </c>
    </row>
    <row r="124" spans="6:18" x14ac:dyDescent="0.25">
      <c r="F124"/>
      <c r="G124" s="20"/>
      <c r="H124" s="21"/>
      <c r="K124" s="23"/>
      <c r="L124" t="str">
        <f>IF(K124="","",IFERROR(_xlfn.XLOOKUP(K124,verfvoorraad!C:C,verfvoorraad!B:B),IFERROR(_xlfn.XLOOKUP(IF(LEFT(UPPER(K124),4)="REV-","REV-"&amp;VALUE(MID(K124,5,99)),IF(LEN(K124)=5,LEFT(K124,2)&amp;"."&amp;RIGHT(K124,3),K124)),verfvoorraad!E:E,verfvoorraad!B:B),"Niet gevonden")))</f>
        <v/>
      </c>
      <c r="M124" t="str">
        <f>IF(K124="","",IFERROR(_xlfn.XLOOKUP(K124,verfvoorraad!C:C,verfvoorraad!D:D),IFERROR(_xlfn.XLOOKUP(IF(LEFT(UPPER(K124),4)="REV-","REV-"&amp;VALUE(MID(K124,5,99)),IF(LEN(K124)=5,LEFT(K124,2)&amp;"."&amp;RIGHT(K124,3),K124)),verfvoorraad!E:E,verfvoorraad!D:D),"Niet gevonden")))</f>
        <v/>
      </c>
      <c r="N124" t="str">
        <f>IF(K124="","",IFERROR(_xlfn.XLOOKUP(K124,verfvoorraad!C:C,verfvoorraad!E:E),IFERROR(_xlfn.XLOOKUP(IF(LEFT(UPPER(K124),4)="REV-","REV-"&amp;VALUE(MID(K124,5,99)),IF(LEN(K124)=5,LEFT(K124,2)&amp;"."&amp;RIGHT(K124,3),K124)),verfvoorraad!E:E,verfvoorraad!E:E),"Niet gevonden")))</f>
        <v/>
      </c>
      <c r="O124" t="str">
        <f>IF(K124="","",IFERROR(_xlfn.XLOOKUP(K124,verfvoorraad!C:C,verfvoorraad!F:F),IFERROR(_xlfn.XLOOKUP(IF(LEFT(UPPER(K124),4)="REV-","REV-"&amp;VALUE(MID(K124,5,99)),IF(LEN(K124)=5,LEFT(K124,2)&amp;"."&amp;RIGHT(K124,3),K124)),verfvoorraad!E:E,verfvoorraad!F:F),"Niet gevonden")))</f>
        <v/>
      </c>
      <c r="P124" t="str">
        <f>IF(K124="","",IFERROR(_xlfn.XLOOKUP(K124,verfvoorraad!C:C,verfvoorraad!G:G),IFERROR(_xlfn.XLOOKUP(IF(LEFT(UPPER(K124),4)="REV-","REV-"&amp;VALUE(MID(K124,5,99)),IF(LEN(K124)=5,LEFT(K124,2)&amp;"."&amp;RIGHT(K124,3),K124)),verfvoorraad!E:E,verfvoorraad!G:G),"Niet gevonden")))</f>
        <v/>
      </c>
      <c r="Q124" t="str">
        <f t="shared" si="2"/>
        <v/>
      </c>
      <c r="R124" t="str">
        <f t="shared" si="3"/>
        <v/>
      </c>
    </row>
    <row r="125" spans="6:18" x14ac:dyDescent="0.25">
      <c r="F125"/>
      <c r="G125" s="20"/>
      <c r="H125" s="21"/>
      <c r="K125" s="23"/>
      <c r="L125" t="str">
        <f>IF(K125="","",IFERROR(_xlfn.XLOOKUP(K125,verfvoorraad!C:C,verfvoorraad!B:B),IFERROR(_xlfn.XLOOKUP(IF(LEFT(UPPER(K125),4)="REV-","REV-"&amp;VALUE(MID(K125,5,99)),IF(LEN(K125)=5,LEFT(K125,2)&amp;"."&amp;RIGHT(K125,3),K125)),verfvoorraad!E:E,verfvoorraad!B:B),"Niet gevonden")))</f>
        <v/>
      </c>
      <c r="M125" t="str">
        <f>IF(K125="","",IFERROR(_xlfn.XLOOKUP(K125,verfvoorraad!C:C,verfvoorraad!D:D),IFERROR(_xlfn.XLOOKUP(IF(LEFT(UPPER(K125),4)="REV-","REV-"&amp;VALUE(MID(K125,5,99)),IF(LEN(K125)=5,LEFT(K125,2)&amp;"."&amp;RIGHT(K125,3),K125)),verfvoorraad!E:E,verfvoorraad!D:D),"Niet gevonden")))</f>
        <v/>
      </c>
      <c r="N125" t="str">
        <f>IF(K125="","",IFERROR(_xlfn.XLOOKUP(K125,verfvoorraad!C:C,verfvoorraad!E:E),IFERROR(_xlfn.XLOOKUP(IF(LEFT(UPPER(K125),4)="REV-","REV-"&amp;VALUE(MID(K125,5,99)),IF(LEN(K125)=5,LEFT(K125,2)&amp;"."&amp;RIGHT(K125,3),K125)),verfvoorraad!E:E,verfvoorraad!E:E),"Niet gevonden")))</f>
        <v/>
      </c>
      <c r="O125" t="str">
        <f>IF(K125="","",IFERROR(_xlfn.XLOOKUP(K125,verfvoorraad!C:C,verfvoorraad!F:F),IFERROR(_xlfn.XLOOKUP(IF(LEFT(UPPER(K125),4)="REV-","REV-"&amp;VALUE(MID(K125,5,99)),IF(LEN(K125)=5,LEFT(K125,2)&amp;"."&amp;RIGHT(K125,3),K125)),verfvoorraad!E:E,verfvoorraad!F:F),"Niet gevonden")))</f>
        <v/>
      </c>
      <c r="P125" t="str">
        <f>IF(K125="","",IFERROR(_xlfn.XLOOKUP(K125,verfvoorraad!C:C,verfvoorraad!G:G),IFERROR(_xlfn.XLOOKUP(IF(LEFT(UPPER(K125),4)="REV-","REV-"&amp;VALUE(MID(K125,5,99)),IF(LEN(K125)=5,LEFT(K125,2)&amp;"."&amp;RIGHT(K125,3),K125)),verfvoorraad!E:E,verfvoorraad!G:G),"Niet gevonden")))</f>
        <v/>
      </c>
      <c r="Q125" t="str">
        <f t="shared" si="2"/>
        <v/>
      </c>
      <c r="R125" t="str">
        <f t="shared" si="3"/>
        <v/>
      </c>
    </row>
    <row r="126" spans="6:18" x14ac:dyDescent="0.25">
      <c r="F126"/>
      <c r="G126" s="20"/>
      <c r="H126" s="21"/>
      <c r="K126" s="23"/>
      <c r="L126" t="str">
        <f>IF(K126="","",IFERROR(_xlfn.XLOOKUP(K126,verfvoorraad!C:C,verfvoorraad!B:B),IFERROR(_xlfn.XLOOKUP(IF(LEFT(UPPER(K126),4)="REV-","REV-"&amp;VALUE(MID(K126,5,99)),IF(LEN(K126)=5,LEFT(K126,2)&amp;"."&amp;RIGHT(K126,3),K126)),verfvoorraad!E:E,verfvoorraad!B:B),"Niet gevonden")))</f>
        <v/>
      </c>
      <c r="M126" t="str">
        <f>IF(K126="","",IFERROR(_xlfn.XLOOKUP(K126,verfvoorraad!C:C,verfvoorraad!D:D),IFERROR(_xlfn.XLOOKUP(IF(LEFT(UPPER(K126),4)="REV-","REV-"&amp;VALUE(MID(K126,5,99)),IF(LEN(K126)=5,LEFT(K126,2)&amp;"."&amp;RIGHT(K126,3),K126)),verfvoorraad!E:E,verfvoorraad!D:D),"Niet gevonden")))</f>
        <v/>
      </c>
      <c r="N126" t="str">
        <f>IF(K126="","",IFERROR(_xlfn.XLOOKUP(K126,verfvoorraad!C:C,verfvoorraad!E:E),IFERROR(_xlfn.XLOOKUP(IF(LEFT(UPPER(K126),4)="REV-","REV-"&amp;VALUE(MID(K126,5,99)),IF(LEN(K126)=5,LEFT(K126,2)&amp;"."&amp;RIGHT(K126,3),K126)),verfvoorraad!E:E,verfvoorraad!E:E),"Niet gevonden")))</f>
        <v/>
      </c>
      <c r="O126" t="str">
        <f>IF(K126="","",IFERROR(_xlfn.XLOOKUP(K126,verfvoorraad!C:C,verfvoorraad!F:F),IFERROR(_xlfn.XLOOKUP(IF(LEFT(UPPER(K126),4)="REV-","REV-"&amp;VALUE(MID(K126,5,99)),IF(LEN(K126)=5,LEFT(K126,2)&amp;"."&amp;RIGHT(K126,3),K126)),verfvoorraad!E:E,verfvoorraad!F:F),"Niet gevonden")))</f>
        <v/>
      </c>
      <c r="P126" t="str">
        <f>IF(K126="","",IFERROR(_xlfn.XLOOKUP(K126,verfvoorraad!C:C,verfvoorraad!G:G),IFERROR(_xlfn.XLOOKUP(IF(LEFT(UPPER(K126),4)="REV-","REV-"&amp;VALUE(MID(K126,5,99)),IF(LEN(K126)=5,LEFT(K126,2)&amp;"."&amp;RIGHT(K126,3),K126)),verfvoorraad!E:E,verfvoorraad!G:G),"Niet gevonden")))</f>
        <v/>
      </c>
      <c r="Q126" t="str">
        <f t="shared" si="2"/>
        <v/>
      </c>
      <c r="R126" t="str">
        <f t="shared" si="3"/>
        <v/>
      </c>
    </row>
    <row r="127" spans="6:18" x14ac:dyDescent="0.25">
      <c r="F127"/>
      <c r="G127" s="20"/>
      <c r="H127" s="21"/>
      <c r="K127" s="23"/>
      <c r="L127" t="str">
        <f>IF(K127="","",IFERROR(_xlfn.XLOOKUP(K127,verfvoorraad!C:C,verfvoorraad!B:B),IFERROR(_xlfn.XLOOKUP(IF(LEFT(UPPER(K127),4)="REV-","REV-"&amp;VALUE(MID(K127,5,99)),IF(LEN(K127)=5,LEFT(K127,2)&amp;"."&amp;RIGHT(K127,3),K127)),verfvoorraad!E:E,verfvoorraad!B:B),"Niet gevonden")))</f>
        <v/>
      </c>
      <c r="M127" t="str">
        <f>IF(K127="","",IFERROR(_xlfn.XLOOKUP(K127,verfvoorraad!C:C,verfvoorraad!D:D),IFERROR(_xlfn.XLOOKUP(IF(LEFT(UPPER(K127),4)="REV-","REV-"&amp;VALUE(MID(K127,5,99)),IF(LEN(K127)=5,LEFT(K127,2)&amp;"."&amp;RIGHT(K127,3),K127)),verfvoorraad!E:E,verfvoorraad!D:D),"Niet gevonden")))</f>
        <v/>
      </c>
      <c r="N127" t="str">
        <f>IF(K127="","",IFERROR(_xlfn.XLOOKUP(K127,verfvoorraad!C:C,verfvoorraad!E:E),IFERROR(_xlfn.XLOOKUP(IF(LEFT(UPPER(K127),4)="REV-","REV-"&amp;VALUE(MID(K127,5,99)),IF(LEN(K127)=5,LEFT(K127,2)&amp;"."&amp;RIGHT(K127,3),K127)),verfvoorraad!E:E,verfvoorraad!E:E),"Niet gevonden")))</f>
        <v/>
      </c>
      <c r="O127" t="str">
        <f>IF(K127="","",IFERROR(_xlfn.XLOOKUP(K127,verfvoorraad!C:C,verfvoorraad!F:F),IFERROR(_xlfn.XLOOKUP(IF(LEFT(UPPER(K127),4)="REV-","REV-"&amp;VALUE(MID(K127,5,99)),IF(LEN(K127)=5,LEFT(K127,2)&amp;"."&amp;RIGHT(K127,3),K127)),verfvoorraad!E:E,verfvoorraad!F:F),"Niet gevonden")))</f>
        <v/>
      </c>
      <c r="P127" t="str">
        <f>IF(K127="","",IFERROR(_xlfn.XLOOKUP(K127,verfvoorraad!C:C,verfvoorraad!G:G),IFERROR(_xlfn.XLOOKUP(IF(LEFT(UPPER(K127),4)="REV-","REV-"&amp;VALUE(MID(K127,5,99)),IF(LEN(K127)=5,LEFT(K127,2)&amp;"."&amp;RIGHT(K127,3),K127)),verfvoorraad!E:E,verfvoorraad!G:G),"Niet gevonden")))</f>
        <v/>
      </c>
      <c r="Q127" t="str">
        <f t="shared" si="2"/>
        <v/>
      </c>
      <c r="R127" t="str">
        <f t="shared" si="3"/>
        <v/>
      </c>
    </row>
    <row r="128" spans="6:18" x14ac:dyDescent="0.25">
      <c r="F128"/>
      <c r="G128" s="20"/>
      <c r="H128" s="21"/>
      <c r="K128" s="23"/>
      <c r="L128" t="str">
        <f>IF(K128="","",IFERROR(_xlfn.XLOOKUP(K128,verfvoorraad!C:C,verfvoorraad!B:B),IFERROR(_xlfn.XLOOKUP(IF(LEFT(UPPER(K128),4)="REV-","REV-"&amp;VALUE(MID(K128,5,99)),IF(LEN(K128)=5,LEFT(K128,2)&amp;"."&amp;RIGHT(K128,3),K128)),verfvoorraad!E:E,verfvoorraad!B:B),"Niet gevonden")))</f>
        <v/>
      </c>
      <c r="M128" t="str">
        <f>IF(K128="","",IFERROR(_xlfn.XLOOKUP(K128,verfvoorraad!C:C,verfvoorraad!D:D),IFERROR(_xlfn.XLOOKUP(IF(LEFT(UPPER(K128),4)="REV-","REV-"&amp;VALUE(MID(K128,5,99)),IF(LEN(K128)=5,LEFT(K128,2)&amp;"."&amp;RIGHT(K128,3),K128)),verfvoorraad!E:E,verfvoorraad!D:D),"Niet gevonden")))</f>
        <v/>
      </c>
      <c r="N128" t="str">
        <f>IF(K128="","",IFERROR(_xlfn.XLOOKUP(K128,verfvoorraad!C:C,verfvoorraad!E:E),IFERROR(_xlfn.XLOOKUP(IF(LEFT(UPPER(K128),4)="REV-","REV-"&amp;VALUE(MID(K128,5,99)),IF(LEN(K128)=5,LEFT(K128,2)&amp;"."&amp;RIGHT(K128,3),K128)),verfvoorraad!E:E,verfvoorraad!E:E),"Niet gevonden")))</f>
        <v/>
      </c>
      <c r="O128" t="str">
        <f>IF(K128="","",IFERROR(_xlfn.XLOOKUP(K128,verfvoorraad!C:C,verfvoorraad!F:F),IFERROR(_xlfn.XLOOKUP(IF(LEFT(UPPER(K128),4)="REV-","REV-"&amp;VALUE(MID(K128,5,99)),IF(LEN(K128)=5,LEFT(K128,2)&amp;"."&amp;RIGHT(K128,3),K128)),verfvoorraad!E:E,verfvoorraad!F:F),"Niet gevonden")))</f>
        <v/>
      </c>
      <c r="P128" t="str">
        <f>IF(K128="","",IFERROR(_xlfn.XLOOKUP(K128,verfvoorraad!C:C,verfvoorraad!G:G),IFERROR(_xlfn.XLOOKUP(IF(LEFT(UPPER(K128),4)="REV-","REV-"&amp;VALUE(MID(K128,5,99)),IF(LEN(K128)=5,LEFT(K128,2)&amp;"."&amp;RIGHT(K128,3),K128)),verfvoorraad!E:E,verfvoorraad!G:G),"Niet gevonden")))</f>
        <v/>
      </c>
      <c r="Q128" t="str">
        <f t="shared" si="2"/>
        <v/>
      </c>
      <c r="R128" t="str">
        <f t="shared" si="3"/>
        <v/>
      </c>
    </row>
    <row r="129" spans="6:18" x14ac:dyDescent="0.25">
      <c r="F129"/>
      <c r="G129" s="20"/>
      <c r="H129" s="21"/>
      <c r="K129" s="23"/>
      <c r="L129" t="str">
        <f>IF(K129="","",IFERROR(_xlfn.XLOOKUP(K129,verfvoorraad!C:C,verfvoorraad!B:B),IFERROR(_xlfn.XLOOKUP(IF(LEFT(UPPER(K129),4)="REV-","REV-"&amp;VALUE(MID(K129,5,99)),IF(LEN(K129)=5,LEFT(K129,2)&amp;"."&amp;RIGHT(K129,3),K129)),verfvoorraad!E:E,verfvoorraad!B:B),"Niet gevonden")))</f>
        <v/>
      </c>
      <c r="M129" t="str">
        <f>IF(K129="","",IFERROR(_xlfn.XLOOKUP(K129,verfvoorraad!C:C,verfvoorraad!D:D),IFERROR(_xlfn.XLOOKUP(IF(LEFT(UPPER(K129),4)="REV-","REV-"&amp;VALUE(MID(K129,5,99)),IF(LEN(K129)=5,LEFT(K129,2)&amp;"."&amp;RIGHT(K129,3),K129)),verfvoorraad!E:E,verfvoorraad!D:D),"Niet gevonden")))</f>
        <v/>
      </c>
      <c r="N129" t="str">
        <f>IF(K129="","",IFERROR(_xlfn.XLOOKUP(K129,verfvoorraad!C:C,verfvoorraad!E:E),IFERROR(_xlfn.XLOOKUP(IF(LEFT(UPPER(K129),4)="REV-","REV-"&amp;VALUE(MID(K129,5,99)),IF(LEN(K129)=5,LEFT(K129,2)&amp;"."&amp;RIGHT(K129,3),K129)),verfvoorraad!E:E,verfvoorraad!E:E),"Niet gevonden")))</f>
        <v/>
      </c>
      <c r="O129" t="str">
        <f>IF(K129="","",IFERROR(_xlfn.XLOOKUP(K129,verfvoorraad!C:C,verfvoorraad!F:F),IFERROR(_xlfn.XLOOKUP(IF(LEFT(UPPER(K129),4)="REV-","REV-"&amp;VALUE(MID(K129,5,99)),IF(LEN(K129)=5,LEFT(K129,2)&amp;"."&amp;RIGHT(K129,3),K129)),verfvoorraad!E:E,verfvoorraad!F:F),"Niet gevonden")))</f>
        <v/>
      </c>
      <c r="P129" t="str">
        <f>IF(K129="","",IFERROR(_xlfn.XLOOKUP(K129,verfvoorraad!C:C,verfvoorraad!G:G),IFERROR(_xlfn.XLOOKUP(IF(LEFT(UPPER(K129),4)="REV-","REV-"&amp;VALUE(MID(K129,5,99)),IF(LEN(K129)=5,LEFT(K129,2)&amp;"."&amp;RIGHT(K129,3),K129)),verfvoorraad!E:E,verfvoorraad!G:G),"Niet gevonden")))</f>
        <v/>
      </c>
      <c r="Q129" t="str">
        <f t="shared" si="2"/>
        <v/>
      </c>
      <c r="R129" t="str">
        <f t="shared" si="3"/>
        <v/>
      </c>
    </row>
    <row r="130" spans="6:18" x14ac:dyDescent="0.25">
      <c r="F130"/>
      <c r="G130" s="20"/>
      <c r="H130" s="21"/>
      <c r="K130" s="23"/>
      <c r="L130" t="str">
        <f>IF(K130="","",IFERROR(_xlfn.XLOOKUP(K130,verfvoorraad!C:C,verfvoorraad!B:B),IFERROR(_xlfn.XLOOKUP(IF(LEFT(UPPER(K130),4)="REV-","REV-"&amp;VALUE(MID(K130,5,99)),IF(LEN(K130)=5,LEFT(K130,2)&amp;"."&amp;RIGHT(K130,3),K130)),verfvoorraad!E:E,verfvoorraad!B:B),"Niet gevonden")))</f>
        <v/>
      </c>
      <c r="M130" t="str">
        <f>IF(K130="","",IFERROR(_xlfn.XLOOKUP(K130,verfvoorraad!C:C,verfvoorraad!D:D),IFERROR(_xlfn.XLOOKUP(IF(LEFT(UPPER(K130),4)="REV-","REV-"&amp;VALUE(MID(K130,5,99)),IF(LEN(K130)=5,LEFT(K130,2)&amp;"."&amp;RIGHT(K130,3),K130)),verfvoorraad!E:E,verfvoorraad!D:D),"Niet gevonden")))</f>
        <v/>
      </c>
      <c r="N130" t="str">
        <f>IF(K130="","",IFERROR(_xlfn.XLOOKUP(K130,verfvoorraad!C:C,verfvoorraad!E:E),IFERROR(_xlfn.XLOOKUP(IF(LEFT(UPPER(K130),4)="REV-","REV-"&amp;VALUE(MID(K130,5,99)),IF(LEN(K130)=5,LEFT(K130,2)&amp;"."&amp;RIGHT(K130,3),K130)),verfvoorraad!E:E,verfvoorraad!E:E),"Niet gevonden")))</f>
        <v/>
      </c>
      <c r="O130" t="str">
        <f>IF(K130="","",IFERROR(_xlfn.XLOOKUP(K130,verfvoorraad!C:C,verfvoorraad!F:F),IFERROR(_xlfn.XLOOKUP(IF(LEFT(UPPER(K130),4)="REV-","REV-"&amp;VALUE(MID(K130,5,99)),IF(LEN(K130)=5,LEFT(K130,2)&amp;"."&amp;RIGHT(K130,3),K130)),verfvoorraad!E:E,verfvoorraad!F:F),"Niet gevonden")))</f>
        <v/>
      </c>
      <c r="P130" t="str">
        <f>IF(K130="","",IFERROR(_xlfn.XLOOKUP(K130,verfvoorraad!C:C,verfvoorraad!G:G),IFERROR(_xlfn.XLOOKUP(IF(LEFT(UPPER(K130),4)="REV-","REV-"&amp;VALUE(MID(K130,5,99)),IF(LEN(K130)=5,LEFT(K130,2)&amp;"."&amp;RIGHT(K130,3),K130)),verfvoorraad!E:E,verfvoorraad!G:G),"Niet gevonden")))</f>
        <v/>
      </c>
      <c r="Q130" t="str">
        <f t="shared" si="2"/>
        <v/>
      </c>
      <c r="R130" t="str">
        <f t="shared" si="3"/>
        <v/>
      </c>
    </row>
    <row r="131" spans="6:18" x14ac:dyDescent="0.25">
      <c r="F131"/>
      <c r="G131" s="20"/>
      <c r="H131" s="21"/>
      <c r="K131" s="23"/>
      <c r="L131" t="str">
        <f>IF(K131="","",IFERROR(_xlfn.XLOOKUP(K131,verfvoorraad!C:C,verfvoorraad!B:B),IFERROR(_xlfn.XLOOKUP(IF(LEFT(UPPER(K131),4)="REV-","REV-"&amp;VALUE(MID(K131,5,99)),IF(LEN(K131)=5,LEFT(K131,2)&amp;"."&amp;RIGHT(K131,3),K131)),verfvoorraad!E:E,verfvoorraad!B:B),"Niet gevonden")))</f>
        <v/>
      </c>
      <c r="M131" t="str">
        <f>IF(K131="","",IFERROR(_xlfn.XLOOKUP(K131,verfvoorraad!C:C,verfvoorraad!D:D),IFERROR(_xlfn.XLOOKUP(IF(LEFT(UPPER(K131),4)="REV-","REV-"&amp;VALUE(MID(K131,5,99)),IF(LEN(K131)=5,LEFT(K131,2)&amp;"."&amp;RIGHT(K131,3),K131)),verfvoorraad!E:E,verfvoorraad!D:D),"Niet gevonden")))</f>
        <v/>
      </c>
      <c r="N131" t="str">
        <f>IF(K131="","",IFERROR(_xlfn.XLOOKUP(K131,verfvoorraad!C:C,verfvoorraad!E:E),IFERROR(_xlfn.XLOOKUP(IF(LEFT(UPPER(K131),4)="REV-","REV-"&amp;VALUE(MID(K131,5,99)),IF(LEN(K131)=5,LEFT(K131,2)&amp;"."&amp;RIGHT(K131,3),K131)),verfvoorraad!E:E,verfvoorraad!E:E),"Niet gevonden")))</f>
        <v/>
      </c>
      <c r="O131" t="str">
        <f>IF(K131="","",IFERROR(_xlfn.XLOOKUP(K131,verfvoorraad!C:C,verfvoorraad!F:F),IFERROR(_xlfn.XLOOKUP(IF(LEFT(UPPER(K131),4)="REV-","REV-"&amp;VALUE(MID(K131,5,99)),IF(LEN(K131)=5,LEFT(K131,2)&amp;"."&amp;RIGHT(K131,3),K131)),verfvoorraad!E:E,verfvoorraad!F:F),"Niet gevonden")))</f>
        <v/>
      </c>
      <c r="P131" t="str">
        <f>IF(K131="","",IFERROR(_xlfn.XLOOKUP(K131,verfvoorraad!C:C,verfvoorraad!G:G),IFERROR(_xlfn.XLOOKUP(IF(LEFT(UPPER(K131),4)="REV-","REV-"&amp;VALUE(MID(K131,5,99)),IF(LEN(K131)=5,LEFT(K131,2)&amp;"."&amp;RIGHT(K131,3),K131)),verfvoorraad!E:E,verfvoorraad!G:G),"Niet gevonden")))</f>
        <v/>
      </c>
      <c r="Q131" t="str">
        <f t="shared" si="2"/>
        <v/>
      </c>
      <c r="R131" t="str">
        <f t="shared" si="3"/>
        <v/>
      </c>
    </row>
    <row r="132" spans="6:18" x14ac:dyDescent="0.25">
      <c r="F132"/>
      <c r="G132" s="20"/>
      <c r="H132" s="21"/>
      <c r="K132" s="23"/>
      <c r="L132" t="str">
        <f>IF(K132="","",IFERROR(_xlfn.XLOOKUP(K132,verfvoorraad!C:C,verfvoorraad!B:B),IFERROR(_xlfn.XLOOKUP(IF(LEFT(UPPER(K132),4)="REV-","REV-"&amp;VALUE(MID(K132,5,99)),IF(LEN(K132)=5,LEFT(K132,2)&amp;"."&amp;RIGHT(K132,3),K132)),verfvoorraad!E:E,verfvoorraad!B:B),"Niet gevonden")))</f>
        <v/>
      </c>
      <c r="M132" t="str">
        <f>IF(K132="","",IFERROR(_xlfn.XLOOKUP(K132,verfvoorraad!C:C,verfvoorraad!D:D),IFERROR(_xlfn.XLOOKUP(IF(LEFT(UPPER(K132),4)="REV-","REV-"&amp;VALUE(MID(K132,5,99)),IF(LEN(K132)=5,LEFT(K132,2)&amp;"."&amp;RIGHT(K132,3),K132)),verfvoorraad!E:E,verfvoorraad!D:D),"Niet gevonden")))</f>
        <v/>
      </c>
      <c r="N132" t="str">
        <f>IF(K132="","",IFERROR(_xlfn.XLOOKUP(K132,verfvoorraad!C:C,verfvoorraad!E:E),IFERROR(_xlfn.XLOOKUP(IF(LEFT(UPPER(K132),4)="REV-","REV-"&amp;VALUE(MID(K132,5,99)),IF(LEN(K132)=5,LEFT(K132,2)&amp;"."&amp;RIGHT(K132,3),K132)),verfvoorraad!E:E,verfvoorraad!E:E),"Niet gevonden")))</f>
        <v/>
      </c>
      <c r="O132" t="str">
        <f>IF(K132="","",IFERROR(_xlfn.XLOOKUP(K132,verfvoorraad!C:C,verfvoorraad!F:F),IFERROR(_xlfn.XLOOKUP(IF(LEFT(UPPER(K132),4)="REV-","REV-"&amp;VALUE(MID(K132,5,99)),IF(LEN(K132)=5,LEFT(K132,2)&amp;"."&amp;RIGHT(K132,3),K132)),verfvoorraad!E:E,verfvoorraad!F:F),"Niet gevonden")))</f>
        <v/>
      </c>
      <c r="P132" t="str">
        <f>IF(K132="","",IFERROR(_xlfn.XLOOKUP(K132,verfvoorraad!C:C,verfvoorraad!G:G),IFERROR(_xlfn.XLOOKUP(IF(LEFT(UPPER(K132),4)="REV-","REV-"&amp;VALUE(MID(K132,5,99)),IF(LEN(K132)=5,LEFT(K132,2)&amp;"."&amp;RIGHT(K132,3),K132)),verfvoorraad!E:E,verfvoorraad!G:G),"Niet gevonden")))</f>
        <v/>
      </c>
      <c r="Q132" t="str">
        <f t="shared" si="2"/>
        <v/>
      </c>
      <c r="R132" t="str">
        <f t="shared" si="3"/>
        <v/>
      </c>
    </row>
    <row r="133" spans="6:18" x14ac:dyDescent="0.25">
      <c r="F133"/>
      <c r="G133" s="20"/>
      <c r="H133" s="21"/>
      <c r="K133" s="23"/>
      <c r="L133" t="str">
        <f>IF(K133="","",IFERROR(_xlfn.XLOOKUP(K133,verfvoorraad!C:C,verfvoorraad!B:B),IFERROR(_xlfn.XLOOKUP(IF(LEFT(UPPER(K133),4)="REV-","REV-"&amp;VALUE(MID(K133,5,99)),IF(LEN(K133)=5,LEFT(K133,2)&amp;"."&amp;RIGHT(K133,3),K133)),verfvoorraad!E:E,verfvoorraad!B:B),"Niet gevonden")))</f>
        <v/>
      </c>
      <c r="M133" t="str">
        <f>IF(K133="","",IFERROR(_xlfn.XLOOKUP(K133,verfvoorraad!C:C,verfvoorraad!D:D),IFERROR(_xlfn.XLOOKUP(IF(LEFT(UPPER(K133),4)="REV-","REV-"&amp;VALUE(MID(K133,5,99)),IF(LEN(K133)=5,LEFT(K133,2)&amp;"."&amp;RIGHT(K133,3),K133)),verfvoorraad!E:E,verfvoorraad!D:D),"Niet gevonden")))</f>
        <v/>
      </c>
      <c r="N133" t="str">
        <f>IF(K133="","",IFERROR(_xlfn.XLOOKUP(K133,verfvoorraad!C:C,verfvoorraad!E:E),IFERROR(_xlfn.XLOOKUP(IF(LEFT(UPPER(K133),4)="REV-","REV-"&amp;VALUE(MID(K133,5,99)),IF(LEN(K133)=5,LEFT(K133,2)&amp;"."&amp;RIGHT(K133,3),K133)),verfvoorraad!E:E,verfvoorraad!E:E),"Niet gevonden")))</f>
        <v/>
      </c>
      <c r="O133" t="str">
        <f>IF(K133="","",IFERROR(_xlfn.XLOOKUP(K133,verfvoorraad!C:C,verfvoorraad!F:F),IFERROR(_xlfn.XLOOKUP(IF(LEFT(UPPER(K133),4)="REV-","REV-"&amp;VALUE(MID(K133,5,99)),IF(LEN(K133)=5,LEFT(K133,2)&amp;"."&amp;RIGHT(K133,3),K133)),verfvoorraad!E:E,verfvoorraad!F:F),"Niet gevonden")))</f>
        <v/>
      </c>
      <c r="P133" t="str">
        <f>IF(K133="","",IFERROR(_xlfn.XLOOKUP(K133,verfvoorraad!C:C,verfvoorraad!G:G),IFERROR(_xlfn.XLOOKUP(IF(LEFT(UPPER(K133),4)="REV-","REV-"&amp;VALUE(MID(K133,5,99)),IF(LEN(K133)=5,LEFT(K133,2)&amp;"."&amp;RIGHT(K133,3),K133)),verfvoorraad!E:E,verfvoorraad!G:G),"Niet gevonden")))</f>
        <v/>
      </c>
      <c r="Q133" t="str">
        <f t="shared" si="2"/>
        <v/>
      </c>
      <c r="R133" t="str">
        <f t="shared" si="3"/>
        <v/>
      </c>
    </row>
    <row r="134" spans="6:18" x14ac:dyDescent="0.25">
      <c r="F134"/>
      <c r="G134" s="20"/>
      <c r="H134" s="21"/>
      <c r="K134" s="23"/>
      <c r="L134" t="str">
        <f>IF(K134="","",IFERROR(_xlfn.XLOOKUP(K134,verfvoorraad!C:C,verfvoorraad!B:B),IFERROR(_xlfn.XLOOKUP(IF(LEFT(UPPER(K134),4)="REV-","REV-"&amp;VALUE(MID(K134,5,99)),IF(LEN(K134)=5,LEFT(K134,2)&amp;"."&amp;RIGHT(K134,3),K134)),verfvoorraad!E:E,verfvoorraad!B:B),"Niet gevonden")))</f>
        <v/>
      </c>
      <c r="M134" t="str">
        <f>IF(K134="","",IFERROR(_xlfn.XLOOKUP(K134,verfvoorraad!C:C,verfvoorraad!D:D),IFERROR(_xlfn.XLOOKUP(IF(LEFT(UPPER(K134),4)="REV-","REV-"&amp;VALUE(MID(K134,5,99)),IF(LEN(K134)=5,LEFT(K134,2)&amp;"."&amp;RIGHT(K134,3),K134)),verfvoorraad!E:E,verfvoorraad!D:D),"Niet gevonden")))</f>
        <v/>
      </c>
      <c r="N134" t="str">
        <f>IF(K134="","",IFERROR(_xlfn.XLOOKUP(K134,verfvoorraad!C:C,verfvoorraad!E:E),IFERROR(_xlfn.XLOOKUP(IF(LEFT(UPPER(K134),4)="REV-","REV-"&amp;VALUE(MID(K134,5,99)),IF(LEN(K134)=5,LEFT(K134,2)&amp;"."&amp;RIGHT(K134,3),K134)),verfvoorraad!E:E,verfvoorraad!E:E),"Niet gevonden")))</f>
        <v/>
      </c>
      <c r="O134" t="str">
        <f>IF(K134="","",IFERROR(_xlfn.XLOOKUP(K134,verfvoorraad!C:C,verfvoorraad!F:F),IFERROR(_xlfn.XLOOKUP(IF(LEFT(UPPER(K134),4)="REV-","REV-"&amp;VALUE(MID(K134,5,99)),IF(LEN(K134)=5,LEFT(K134,2)&amp;"."&amp;RIGHT(K134,3),K134)),verfvoorraad!E:E,verfvoorraad!F:F),"Niet gevonden")))</f>
        <v/>
      </c>
      <c r="P134" t="str">
        <f>IF(K134="","",IFERROR(_xlfn.XLOOKUP(K134,verfvoorraad!C:C,verfvoorraad!G:G),IFERROR(_xlfn.XLOOKUP(IF(LEFT(UPPER(K134),4)="REV-","REV-"&amp;VALUE(MID(K134,5,99)),IF(LEN(K134)=5,LEFT(K134,2)&amp;"."&amp;RIGHT(K134,3),K134)),verfvoorraad!E:E,verfvoorraad!G:G),"Niet gevonden")))</f>
        <v/>
      </c>
      <c r="Q134" t="str">
        <f t="shared" si="2"/>
        <v/>
      </c>
      <c r="R134" t="str">
        <f t="shared" si="3"/>
        <v/>
      </c>
    </row>
    <row r="135" spans="6:18" x14ac:dyDescent="0.25">
      <c r="F135"/>
      <c r="G135" s="20"/>
      <c r="H135" s="21"/>
      <c r="K135" s="23"/>
      <c r="L135" t="str">
        <f>IF(K135="","",IFERROR(_xlfn.XLOOKUP(K135,verfvoorraad!C:C,verfvoorraad!B:B),IFERROR(_xlfn.XLOOKUP(IF(LEFT(UPPER(K135),4)="REV-","REV-"&amp;VALUE(MID(K135,5,99)),IF(LEN(K135)=5,LEFT(K135,2)&amp;"."&amp;RIGHT(K135,3),K135)),verfvoorraad!E:E,verfvoorraad!B:B),"Niet gevonden")))</f>
        <v/>
      </c>
      <c r="M135" t="str">
        <f>IF(K135="","",IFERROR(_xlfn.XLOOKUP(K135,verfvoorraad!C:C,verfvoorraad!D:D),IFERROR(_xlfn.XLOOKUP(IF(LEFT(UPPER(K135),4)="REV-","REV-"&amp;VALUE(MID(K135,5,99)),IF(LEN(K135)=5,LEFT(K135,2)&amp;"."&amp;RIGHT(K135,3),K135)),verfvoorraad!E:E,verfvoorraad!D:D),"Niet gevonden")))</f>
        <v/>
      </c>
      <c r="N135" t="str">
        <f>IF(K135="","",IFERROR(_xlfn.XLOOKUP(K135,verfvoorraad!C:C,verfvoorraad!E:E),IFERROR(_xlfn.XLOOKUP(IF(LEFT(UPPER(K135),4)="REV-","REV-"&amp;VALUE(MID(K135,5,99)),IF(LEN(K135)=5,LEFT(K135,2)&amp;"."&amp;RIGHT(K135,3),K135)),verfvoorraad!E:E,verfvoorraad!E:E),"Niet gevonden")))</f>
        <v/>
      </c>
      <c r="O135" t="str">
        <f>IF(K135="","",IFERROR(_xlfn.XLOOKUP(K135,verfvoorraad!C:C,verfvoorraad!F:F),IFERROR(_xlfn.XLOOKUP(IF(LEFT(UPPER(K135),4)="REV-","REV-"&amp;VALUE(MID(K135,5,99)),IF(LEN(K135)=5,LEFT(K135,2)&amp;"."&amp;RIGHT(K135,3),K135)),verfvoorraad!E:E,verfvoorraad!F:F),"Niet gevonden")))</f>
        <v/>
      </c>
      <c r="P135" t="str">
        <f>IF(K135="","",IFERROR(_xlfn.XLOOKUP(K135,verfvoorraad!C:C,verfvoorraad!G:G),IFERROR(_xlfn.XLOOKUP(IF(LEFT(UPPER(K135),4)="REV-","REV-"&amp;VALUE(MID(K135,5,99)),IF(LEN(K135)=5,LEFT(K135,2)&amp;"."&amp;RIGHT(K135,3),K135)),verfvoorraad!E:E,verfvoorraad!G:G),"Niet gevonden")))</f>
        <v/>
      </c>
      <c r="Q135" t="str">
        <f t="shared" si="2"/>
        <v/>
      </c>
      <c r="R135" t="str">
        <f t="shared" si="3"/>
        <v/>
      </c>
    </row>
    <row r="136" spans="6:18" x14ac:dyDescent="0.25">
      <c r="F136"/>
      <c r="G136" s="20"/>
      <c r="H136" s="21"/>
      <c r="K136" s="23"/>
      <c r="L136" t="str">
        <f>IF(K136="","",IFERROR(_xlfn.XLOOKUP(K136,verfvoorraad!C:C,verfvoorraad!B:B),IFERROR(_xlfn.XLOOKUP(IF(LEFT(UPPER(K136),4)="REV-","REV-"&amp;VALUE(MID(K136,5,99)),IF(LEN(K136)=5,LEFT(K136,2)&amp;"."&amp;RIGHT(K136,3),K136)),verfvoorraad!E:E,verfvoorraad!B:B),"Niet gevonden")))</f>
        <v/>
      </c>
      <c r="M136" t="str">
        <f>IF(K136="","",IFERROR(_xlfn.XLOOKUP(K136,verfvoorraad!C:C,verfvoorraad!D:D),IFERROR(_xlfn.XLOOKUP(IF(LEFT(UPPER(K136),4)="REV-","REV-"&amp;VALUE(MID(K136,5,99)),IF(LEN(K136)=5,LEFT(K136,2)&amp;"."&amp;RIGHT(K136,3),K136)),verfvoorraad!E:E,verfvoorraad!D:D),"Niet gevonden")))</f>
        <v/>
      </c>
      <c r="N136" t="str">
        <f>IF(K136="","",IFERROR(_xlfn.XLOOKUP(K136,verfvoorraad!C:C,verfvoorraad!E:E),IFERROR(_xlfn.XLOOKUP(IF(LEFT(UPPER(K136),4)="REV-","REV-"&amp;VALUE(MID(K136,5,99)),IF(LEN(K136)=5,LEFT(K136,2)&amp;"."&amp;RIGHT(K136,3),K136)),verfvoorraad!E:E,verfvoorraad!E:E),"Niet gevonden")))</f>
        <v/>
      </c>
      <c r="O136" t="str">
        <f>IF(K136="","",IFERROR(_xlfn.XLOOKUP(K136,verfvoorraad!C:C,verfvoorraad!F:F),IFERROR(_xlfn.XLOOKUP(IF(LEFT(UPPER(K136),4)="REV-","REV-"&amp;VALUE(MID(K136,5,99)),IF(LEN(K136)=5,LEFT(K136,2)&amp;"."&amp;RIGHT(K136,3),K136)),verfvoorraad!E:E,verfvoorraad!F:F),"Niet gevonden")))</f>
        <v/>
      </c>
      <c r="P136" t="str">
        <f>IF(K136="","",IFERROR(_xlfn.XLOOKUP(K136,verfvoorraad!C:C,verfvoorraad!G:G),IFERROR(_xlfn.XLOOKUP(IF(LEFT(UPPER(K136),4)="REV-","REV-"&amp;VALUE(MID(K136,5,99)),IF(LEN(K136)=5,LEFT(K136,2)&amp;"."&amp;RIGHT(K136,3),K136)),verfvoorraad!E:E,verfvoorraad!G:G),"Niet gevonden")))</f>
        <v/>
      </c>
      <c r="Q136" t="str">
        <f t="shared" si="2"/>
        <v/>
      </c>
      <c r="R136" t="str">
        <f t="shared" si="3"/>
        <v/>
      </c>
    </row>
    <row r="137" spans="6:18" x14ac:dyDescent="0.25">
      <c r="F137"/>
      <c r="G137" s="20"/>
      <c r="H137" s="21"/>
      <c r="K137" s="23"/>
      <c r="L137" t="str">
        <f>IF(K137="","",IFERROR(_xlfn.XLOOKUP(K137,verfvoorraad!C:C,verfvoorraad!B:B),IFERROR(_xlfn.XLOOKUP(IF(LEFT(UPPER(K137),4)="REV-","REV-"&amp;VALUE(MID(K137,5,99)),IF(LEN(K137)=5,LEFT(K137,2)&amp;"."&amp;RIGHT(K137,3),K137)),verfvoorraad!E:E,verfvoorraad!B:B),"Niet gevonden")))</f>
        <v/>
      </c>
      <c r="M137" t="str">
        <f>IF(K137="","",IFERROR(_xlfn.XLOOKUP(K137,verfvoorraad!C:C,verfvoorraad!D:D),IFERROR(_xlfn.XLOOKUP(IF(LEFT(UPPER(K137),4)="REV-","REV-"&amp;VALUE(MID(K137,5,99)),IF(LEN(K137)=5,LEFT(K137,2)&amp;"."&amp;RIGHT(K137,3),K137)),verfvoorraad!E:E,verfvoorraad!D:D),"Niet gevonden")))</f>
        <v/>
      </c>
      <c r="N137" t="str">
        <f>IF(K137="","",IFERROR(_xlfn.XLOOKUP(K137,verfvoorraad!C:C,verfvoorraad!E:E),IFERROR(_xlfn.XLOOKUP(IF(LEFT(UPPER(K137),4)="REV-","REV-"&amp;VALUE(MID(K137,5,99)),IF(LEN(K137)=5,LEFT(K137,2)&amp;"."&amp;RIGHT(K137,3),K137)),verfvoorraad!E:E,verfvoorraad!E:E),"Niet gevonden")))</f>
        <v/>
      </c>
      <c r="O137" t="str">
        <f>IF(K137="","",IFERROR(_xlfn.XLOOKUP(K137,verfvoorraad!C:C,verfvoorraad!F:F),IFERROR(_xlfn.XLOOKUP(IF(LEFT(UPPER(K137),4)="REV-","REV-"&amp;VALUE(MID(K137,5,99)),IF(LEN(K137)=5,LEFT(K137,2)&amp;"."&amp;RIGHT(K137,3),K137)),verfvoorraad!E:E,verfvoorraad!F:F),"Niet gevonden")))</f>
        <v/>
      </c>
      <c r="P137" t="str">
        <f>IF(K137="","",IFERROR(_xlfn.XLOOKUP(K137,verfvoorraad!C:C,verfvoorraad!G:G),IFERROR(_xlfn.XLOOKUP(IF(LEFT(UPPER(K137),4)="REV-","REV-"&amp;VALUE(MID(K137,5,99)),IF(LEN(K137)=5,LEFT(K137,2)&amp;"."&amp;RIGHT(K137,3),K137)),verfvoorraad!E:E,verfvoorraad!G:G),"Niet gevonden")))</f>
        <v/>
      </c>
      <c r="Q137" t="str">
        <f t="shared" si="2"/>
        <v/>
      </c>
      <c r="R137" t="str">
        <f t="shared" si="3"/>
        <v/>
      </c>
    </row>
    <row r="138" spans="6:18" x14ac:dyDescent="0.25">
      <c r="F138"/>
      <c r="G138" s="20"/>
      <c r="H138" s="21"/>
      <c r="K138" s="23"/>
      <c r="L138" t="str">
        <f>IF(K138="","",IFERROR(_xlfn.XLOOKUP(K138,verfvoorraad!C:C,verfvoorraad!B:B),IFERROR(_xlfn.XLOOKUP(IF(LEFT(UPPER(K138),4)="REV-","REV-"&amp;VALUE(MID(K138,5,99)),IF(LEN(K138)=5,LEFT(K138,2)&amp;"."&amp;RIGHT(K138,3),K138)),verfvoorraad!E:E,verfvoorraad!B:B),"Niet gevonden")))</f>
        <v/>
      </c>
      <c r="M138" t="str">
        <f>IF(K138="","",IFERROR(_xlfn.XLOOKUP(K138,verfvoorraad!C:C,verfvoorraad!D:D),IFERROR(_xlfn.XLOOKUP(IF(LEFT(UPPER(K138),4)="REV-","REV-"&amp;VALUE(MID(K138,5,99)),IF(LEN(K138)=5,LEFT(K138,2)&amp;"."&amp;RIGHT(K138,3),K138)),verfvoorraad!E:E,verfvoorraad!D:D),"Niet gevonden")))</f>
        <v/>
      </c>
      <c r="N138" t="str">
        <f>IF(K138="","",IFERROR(_xlfn.XLOOKUP(K138,verfvoorraad!C:C,verfvoorraad!E:E),IFERROR(_xlfn.XLOOKUP(IF(LEFT(UPPER(K138),4)="REV-","REV-"&amp;VALUE(MID(K138,5,99)),IF(LEN(K138)=5,LEFT(K138,2)&amp;"."&amp;RIGHT(K138,3),K138)),verfvoorraad!E:E,verfvoorraad!E:E),"Niet gevonden")))</f>
        <v/>
      </c>
      <c r="O138" t="str">
        <f>IF(K138="","",IFERROR(_xlfn.XLOOKUP(K138,verfvoorraad!C:C,verfvoorraad!F:F),IFERROR(_xlfn.XLOOKUP(IF(LEFT(UPPER(K138),4)="REV-","REV-"&amp;VALUE(MID(K138,5,99)),IF(LEN(K138)=5,LEFT(K138,2)&amp;"."&amp;RIGHT(K138,3),K138)),verfvoorraad!E:E,verfvoorraad!F:F),"Niet gevonden")))</f>
        <v/>
      </c>
      <c r="P138" t="str">
        <f>IF(K138="","",IFERROR(_xlfn.XLOOKUP(K138,verfvoorraad!C:C,verfvoorraad!G:G),IFERROR(_xlfn.XLOOKUP(IF(LEFT(UPPER(K138),4)="REV-","REV-"&amp;VALUE(MID(K138,5,99)),IF(LEN(K138)=5,LEFT(K138,2)&amp;"."&amp;RIGHT(K138,3),K138)),verfvoorraad!E:E,verfvoorraad!G:G),"Niet gevonden")))</f>
        <v/>
      </c>
      <c r="Q138" t="str">
        <f t="shared" si="2"/>
        <v/>
      </c>
      <c r="R138" t="str">
        <f t="shared" si="3"/>
        <v/>
      </c>
    </row>
    <row r="139" spans="6:18" x14ac:dyDescent="0.25">
      <c r="F139"/>
      <c r="G139" s="20"/>
      <c r="H139" s="21"/>
      <c r="K139" s="23"/>
      <c r="L139" t="str">
        <f>IF(K139="","",IFERROR(_xlfn.XLOOKUP(K139,verfvoorraad!C:C,verfvoorraad!B:B),IFERROR(_xlfn.XLOOKUP(IF(LEFT(UPPER(K139),4)="REV-","REV-"&amp;VALUE(MID(K139,5,99)),IF(LEN(K139)=5,LEFT(K139,2)&amp;"."&amp;RIGHT(K139,3),K139)),verfvoorraad!E:E,verfvoorraad!B:B),"Niet gevonden")))</f>
        <v/>
      </c>
      <c r="M139" t="str">
        <f>IF(K139="","",IFERROR(_xlfn.XLOOKUP(K139,verfvoorraad!C:C,verfvoorraad!D:D),IFERROR(_xlfn.XLOOKUP(IF(LEFT(UPPER(K139),4)="REV-","REV-"&amp;VALUE(MID(K139,5,99)),IF(LEN(K139)=5,LEFT(K139,2)&amp;"."&amp;RIGHT(K139,3),K139)),verfvoorraad!E:E,verfvoorraad!D:D),"Niet gevonden")))</f>
        <v/>
      </c>
      <c r="N139" t="str">
        <f>IF(K139="","",IFERROR(_xlfn.XLOOKUP(K139,verfvoorraad!C:C,verfvoorraad!E:E),IFERROR(_xlfn.XLOOKUP(IF(LEFT(UPPER(K139),4)="REV-","REV-"&amp;VALUE(MID(K139,5,99)),IF(LEN(K139)=5,LEFT(K139,2)&amp;"."&amp;RIGHT(K139,3),K139)),verfvoorraad!E:E,verfvoorraad!E:E),"Niet gevonden")))</f>
        <v/>
      </c>
      <c r="O139" t="str">
        <f>IF(K139="","",IFERROR(_xlfn.XLOOKUP(K139,verfvoorraad!C:C,verfvoorraad!F:F),IFERROR(_xlfn.XLOOKUP(IF(LEFT(UPPER(K139),4)="REV-","REV-"&amp;VALUE(MID(K139,5,99)),IF(LEN(K139)=5,LEFT(K139,2)&amp;"."&amp;RIGHT(K139,3),K139)),verfvoorraad!E:E,verfvoorraad!F:F),"Niet gevonden")))</f>
        <v/>
      </c>
      <c r="P139" t="str">
        <f>IF(K139="","",IFERROR(_xlfn.XLOOKUP(K139,verfvoorraad!C:C,verfvoorraad!G:G),IFERROR(_xlfn.XLOOKUP(IF(LEFT(UPPER(K139),4)="REV-","REV-"&amp;VALUE(MID(K139,5,99)),IF(LEN(K139)=5,LEFT(K139,2)&amp;"."&amp;RIGHT(K139,3),K139)),verfvoorraad!E:E,verfvoorraad!G:G),"Niet gevonden")))</f>
        <v/>
      </c>
      <c r="Q139" t="str">
        <f t="shared" si="2"/>
        <v/>
      </c>
      <c r="R139" t="str">
        <f t="shared" si="3"/>
        <v/>
      </c>
    </row>
    <row r="140" spans="6:18" x14ac:dyDescent="0.25">
      <c r="F140"/>
      <c r="G140" s="20"/>
      <c r="H140" s="21"/>
      <c r="K140" s="23"/>
      <c r="L140" t="str">
        <f>IF(K140="","",IFERROR(_xlfn.XLOOKUP(K140,verfvoorraad!C:C,verfvoorraad!B:B),IFERROR(_xlfn.XLOOKUP(IF(LEFT(UPPER(K140),4)="REV-","REV-"&amp;VALUE(MID(K140,5,99)),IF(LEN(K140)=5,LEFT(K140,2)&amp;"."&amp;RIGHT(K140,3),K140)),verfvoorraad!E:E,verfvoorraad!B:B),"Niet gevonden")))</f>
        <v/>
      </c>
      <c r="M140" t="str">
        <f>IF(K140="","",IFERROR(_xlfn.XLOOKUP(K140,verfvoorraad!C:C,verfvoorraad!D:D),IFERROR(_xlfn.XLOOKUP(IF(LEFT(UPPER(K140),4)="REV-","REV-"&amp;VALUE(MID(K140,5,99)),IF(LEN(K140)=5,LEFT(K140,2)&amp;"."&amp;RIGHT(K140,3),K140)),verfvoorraad!E:E,verfvoorraad!D:D),"Niet gevonden")))</f>
        <v/>
      </c>
      <c r="N140" t="str">
        <f>IF(K140="","",IFERROR(_xlfn.XLOOKUP(K140,verfvoorraad!C:C,verfvoorraad!E:E),IFERROR(_xlfn.XLOOKUP(IF(LEFT(UPPER(K140),4)="REV-","REV-"&amp;VALUE(MID(K140,5,99)),IF(LEN(K140)=5,LEFT(K140,2)&amp;"."&amp;RIGHT(K140,3),K140)),verfvoorraad!E:E,verfvoorraad!E:E),"Niet gevonden")))</f>
        <v/>
      </c>
      <c r="O140" t="str">
        <f>IF(K140="","",IFERROR(_xlfn.XLOOKUP(K140,verfvoorraad!C:C,verfvoorraad!F:F),IFERROR(_xlfn.XLOOKUP(IF(LEFT(UPPER(K140),4)="REV-","REV-"&amp;VALUE(MID(K140,5,99)),IF(LEN(K140)=5,LEFT(K140,2)&amp;"."&amp;RIGHT(K140,3),K140)),verfvoorraad!E:E,verfvoorraad!F:F),"Niet gevonden")))</f>
        <v/>
      </c>
      <c r="P140" t="str">
        <f>IF(K140="","",IFERROR(_xlfn.XLOOKUP(K140,verfvoorraad!C:C,verfvoorraad!G:G),IFERROR(_xlfn.XLOOKUP(IF(LEFT(UPPER(K140),4)="REV-","REV-"&amp;VALUE(MID(K140,5,99)),IF(LEN(K140)=5,LEFT(K140,2)&amp;"."&amp;RIGHT(K140,3),K140)),verfvoorraad!E:E,verfvoorraad!G:G),"Niet gevonden")))</f>
        <v/>
      </c>
      <c r="Q140" t="str">
        <f t="shared" si="2"/>
        <v/>
      </c>
      <c r="R140" t="str">
        <f t="shared" si="3"/>
        <v/>
      </c>
    </row>
    <row r="141" spans="6:18" x14ac:dyDescent="0.25">
      <c r="F141"/>
      <c r="G141" s="20"/>
      <c r="H141" s="21"/>
      <c r="K141" s="23"/>
      <c r="L141" t="str">
        <f>IF(K141="","",IFERROR(_xlfn.XLOOKUP(K141,verfvoorraad!C:C,verfvoorraad!B:B),IFERROR(_xlfn.XLOOKUP(IF(LEFT(UPPER(K141),4)="REV-","REV-"&amp;VALUE(MID(K141,5,99)),IF(LEN(K141)=5,LEFT(K141,2)&amp;"."&amp;RIGHT(K141,3),K141)),verfvoorraad!E:E,verfvoorraad!B:B),"Niet gevonden")))</f>
        <v/>
      </c>
      <c r="M141" t="str">
        <f>IF(K141="","",IFERROR(_xlfn.XLOOKUP(K141,verfvoorraad!C:C,verfvoorraad!D:D),IFERROR(_xlfn.XLOOKUP(IF(LEFT(UPPER(K141),4)="REV-","REV-"&amp;VALUE(MID(K141,5,99)),IF(LEN(K141)=5,LEFT(K141,2)&amp;"."&amp;RIGHT(K141,3),K141)),verfvoorraad!E:E,verfvoorraad!D:D),"Niet gevonden")))</f>
        <v/>
      </c>
      <c r="N141" t="str">
        <f>IF(K141="","",IFERROR(_xlfn.XLOOKUP(K141,verfvoorraad!C:C,verfvoorraad!E:E),IFERROR(_xlfn.XLOOKUP(IF(LEFT(UPPER(K141),4)="REV-","REV-"&amp;VALUE(MID(K141,5,99)),IF(LEN(K141)=5,LEFT(K141,2)&amp;"."&amp;RIGHT(K141,3),K141)),verfvoorraad!E:E,verfvoorraad!E:E),"Niet gevonden")))</f>
        <v/>
      </c>
      <c r="O141" t="str">
        <f>IF(K141="","",IFERROR(_xlfn.XLOOKUP(K141,verfvoorraad!C:C,verfvoorraad!F:F),IFERROR(_xlfn.XLOOKUP(IF(LEFT(UPPER(K141),4)="REV-","REV-"&amp;VALUE(MID(K141,5,99)),IF(LEN(K141)=5,LEFT(K141,2)&amp;"."&amp;RIGHT(K141,3),K141)),verfvoorraad!E:E,verfvoorraad!F:F),"Niet gevonden")))</f>
        <v/>
      </c>
      <c r="P141" t="str">
        <f>IF(K141="","",IFERROR(_xlfn.XLOOKUP(K141,verfvoorraad!C:C,verfvoorraad!G:G),IFERROR(_xlfn.XLOOKUP(IF(LEFT(UPPER(K141),4)="REV-","REV-"&amp;VALUE(MID(K141,5,99)),IF(LEN(K141)=5,LEFT(K141,2)&amp;"."&amp;RIGHT(K141,3),K141)),verfvoorraad!E:E,verfvoorraad!G:G),"Niet gevonden")))</f>
        <v/>
      </c>
      <c r="Q141" t="str">
        <f t="shared" si="2"/>
        <v/>
      </c>
      <c r="R141" t="str">
        <f t="shared" si="3"/>
        <v/>
      </c>
    </row>
    <row r="142" spans="6:18" x14ac:dyDescent="0.25">
      <c r="F142"/>
      <c r="G142" s="20"/>
      <c r="H142" s="21"/>
      <c r="K142" s="23"/>
      <c r="L142" t="str">
        <f>IF(K142="","",IFERROR(_xlfn.XLOOKUP(K142,verfvoorraad!C:C,verfvoorraad!B:B),IFERROR(_xlfn.XLOOKUP(IF(LEFT(UPPER(K142),4)="REV-","REV-"&amp;VALUE(MID(K142,5,99)),IF(LEN(K142)=5,LEFT(K142,2)&amp;"."&amp;RIGHT(K142,3),K142)),verfvoorraad!E:E,verfvoorraad!B:B),"Niet gevonden")))</f>
        <v/>
      </c>
      <c r="M142" t="str">
        <f>IF(K142="","",IFERROR(_xlfn.XLOOKUP(K142,verfvoorraad!C:C,verfvoorraad!D:D),IFERROR(_xlfn.XLOOKUP(IF(LEFT(UPPER(K142),4)="REV-","REV-"&amp;VALUE(MID(K142,5,99)),IF(LEN(K142)=5,LEFT(K142,2)&amp;"."&amp;RIGHT(K142,3),K142)),verfvoorraad!E:E,verfvoorraad!D:D),"Niet gevonden")))</f>
        <v/>
      </c>
      <c r="N142" t="str">
        <f>IF(K142="","",IFERROR(_xlfn.XLOOKUP(K142,verfvoorraad!C:C,verfvoorraad!E:E),IFERROR(_xlfn.XLOOKUP(IF(LEFT(UPPER(K142),4)="REV-","REV-"&amp;VALUE(MID(K142,5,99)),IF(LEN(K142)=5,LEFT(K142,2)&amp;"."&amp;RIGHT(K142,3),K142)),verfvoorraad!E:E,verfvoorraad!E:E),"Niet gevonden")))</f>
        <v/>
      </c>
      <c r="O142" t="str">
        <f>IF(K142="","",IFERROR(_xlfn.XLOOKUP(K142,verfvoorraad!C:C,verfvoorraad!F:F),IFERROR(_xlfn.XLOOKUP(IF(LEFT(UPPER(K142),4)="REV-","REV-"&amp;VALUE(MID(K142,5,99)),IF(LEN(K142)=5,LEFT(K142,2)&amp;"."&amp;RIGHT(K142,3),K142)),verfvoorraad!E:E,verfvoorraad!F:F),"Niet gevonden")))</f>
        <v/>
      </c>
      <c r="P142" t="str">
        <f>IF(K142="","",IFERROR(_xlfn.XLOOKUP(K142,verfvoorraad!C:C,verfvoorraad!G:G),IFERROR(_xlfn.XLOOKUP(IF(LEFT(UPPER(K142),4)="REV-","REV-"&amp;VALUE(MID(K142,5,99)),IF(LEN(K142)=5,LEFT(K142,2)&amp;"."&amp;RIGHT(K142,3),K142)),verfvoorraad!E:E,verfvoorraad!G:G),"Niet gevonden")))</f>
        <v/>
      </c>
      <c r="Q142" t="str">
        <f t="shared" si="2"/>
        <v/>
      </c>
      <c r="R142" t="str">
        <f t="shared" si="3"/>
        <v/>
      </c>
    </row>
    <row r="143" spans="6:18" x14ac:dyDescent="0.25">
      <c r="F143"/>
      <c r="G143" s="20"/>
      <c r="H143" s="21"/>
      <c r="K143" s="23"/>
      <c r="L143" t="str">
        <f>IF(K143="","",IFERROR(_xlfn.XLOOKUP(K143,verfvoorraad!C:C,verfvoorraad!B:B),IFERROR(_xlfn.XLOOKUP(IF(LEFT(UPPER(K143),4)="REV-","REV-"&amp;VALUE(MID(K143,5,99)),IF(LEN(K143)=5,LEFT(K143,2)&amp;"."&amp;RIGHT(K143,3),K143)),verfvoorraad!E:E,verfvoorraad!B:B),"Niet gevonden")))</f>
        <v/>
      </c>
      <c r="M143" t="str">
        <f>IF(K143="","",IFERROR(_xlfn.XLOOKUP(K143,verfvoorraad!C:C,verfvoorraad!D:D),IFERROR(_xlfn.XLOOKUP(IF(LEFT(UPPER(K143),4)="REV-","REV-"&amp;VALUE(MID(K143,5,99)),IF(LEN(K143)=5,LEFT(K143,2)&amp;"."&amp;RIGHT(K143,3),K143)),verfvoorraad!E:E,verfvoorraad!D:D),"Niet gevonden")))</f>
        <v/>
      </c>
      <c r="N143" t="str">
        <f>IF(K143="","",IFERROR(_xlfn.XLOOKUP(K143,verfvoorraad!C:C,verfvoorraad!E:E),IFERROR(_xlfn.XLOOKUP(IF(LEFT(UPPER(K143),4)="REV-","REV-"&amp;VALUE(MID(K143,5,99)),IF(LEN(K143)=5,LEFT(K143,2)&amp;"."&amp;RIGHT(K143,3),K143)),verfvoorraad!E:E,verfvoorraad!E:E),"Niet gevonden")))</f>
        <v/>
      </c>
      <c r="O143" t="str">
        <f>IF(K143="","",IFERROR(_xlfn.XLOOKUP(K143,verfvoorraad!C:C,verfvoorraad!F:F),IFERROR(_xlfn.XLOOKUP(IF(LEFT(UPPER(K143),4)="REV-","REV-"&amp;VALUE(MID(K143,5,99)),IF(LEN(K143)=5,LEFT(K143,2)&amp;"."&amp;RIGHT(K143,3),K143)),verfvoorraad!E:E,verfvoorraad!F:F),"Niet gevonden")))</f>
        <v/>
      </c>
      <c r="P143" t="str">
        <f>IF(K143="","",IFERROR(_xlfn.XLOOKUP(K143,verfvoorraad!C:C,verfvoorraad!G:G),IFERROR(_xlfn.XLOOKUP(IF(LEFT(UPPER(K143),4)="REV-","REV-"&amp;VALUE(MID(K143,5,99)),IF(LEN(K143)=5,LEFT(K143,2)&amp;"."&amp;RIGHT(K143,3),K143)),verfvoorraad!E:E,verfvoorraad!G:G),"Niet gevonden")))</f>
        <v/>
      </c>
      <c r="Q143" t="str">
        <f t="shared" si="2"/>
        <v/>
      </c>
      <c r="R143" t="str">
        <f t="shared" si="3"/>
        <v/>
      </c>
    </row>
    <row r="144" spans="6:18" x14ac:dyDescent="0.25">
      <c r="F144"/>
      <c r="G144" s="20"/>
      <c r="H144" s="21"/>
      <c r="K144" s="23"/>
      <c r="L144" t="str">
        <f>IF(K144="","",IFERROR(_xlfn.XLOOKUP(K144,verfvoorraad!C:C,verfvoorraad!B:B),IFERROR(_xlfn.XLOOKUP(IF(LEFT(UPPER(K144),4)="REV-","REV-"&amp;VALUE(MID(K144,5,99)),IF(LEN(K144)=5,LEFT(K144,2)&amp;"."&amp;RIGHT(K144,3),K144)),verfvoorraad!E:E,verfvoorraad!B:B),"Niet gevonden")))</f>
        <v/>
      </c>
      <c r="M144" t="str">
        <f>IF(K144="","",IFERROR(_xlfn.XLOOKUP(K144,verfvoorraad!C:C,verfvoorraad!D:D),IFERROR(_xlfn.XLOOKUP(IF(LEFT(UPPER(K144),4)="REV-","REV-"&amp;VALUE(MID(K144,5,99)),IF(LEN(K144)=5,LEFT(K144,2)&amp;"."&amp;RIGHT(K144,3),K144)),verfvoorraad!E:E,verfvoorraad!D:D),"Niet gevonden")))</f>
        <v/>
      </c>
      <c r="N144" t="str">
        <f>IF(K144="","",IFERROR(_xlfn.XLOOKUP(K144,verfvoorraad!C:C,verfvoorraad!E:E),IFERROR(_xlfn.XLOOKUP(IF(LEFT(UPPER(K144),4)="REV-","REV-"&amp;VALUE(MID(K144,5,99)),IF(LEN(K144)=5,LEFT(K144,2)&amp;"."&amp;RIGHT(K144,3),K144)),verfvoorraad!E:E,verfvoorraad!E:E),"Niet gevonden")))</f>
        <v/>
      </c>
      <c r="O144" t="str">
        <f>IF(K144="","",IFERROR(_xlfn.XLOOKUP(K144,verfvoorraad!C:C,verfvoorraad!F:F),IFERROR(_xlfn.XLOOKUP(IF(LEFT(UPPER(K144),4)="REV-","REV-"&amp;VALUE(MID(K144,5,99)),IF(LEN(K144)=5,LEFT(K144,2)&amp;"."&amp;RIGHT(K144,3),K144)),verfvoorraad!E:E,verfvoorraad!F:F),"Niet gevonden")))</f>
        <v/>
      </c>
      <c r="P144" t="str">
        <f>IF(K144="","",IFERROR(_xlfn.XLOOKUP(K144,verfvoorraad!C:C,verfvoorraad!G:G),IFERROR(_xlfn.XLOOKUP(IF(LEFT(UPPER(K144),4)="REV-","REV-"&amp;VALUE(MID(K144,5,99)),IF(LEN(K144)=5,LEFT(K144,2)&amp;"."&amp;RIGHT(K144,3),K144)),verfvoorraad!E:E,verfvoorraad!G:G),"Niet gevonden")))</f>
        <v/>
      </c>
      <c r="Q144" t="str">
        <f t="shared" si="2"/>
        <v/>
      </c>
      <c r="R144" t="str">
        <f t="shared" si="3"/>
        <v/>
      </c>
    </row>
    <row r="145" spans="6:18" x14ac:dyDescent="0.25">
      <c r="F145"/>
      <c r="G145" s="20"/>
      <c r="H145" s="21"/>
      <c r="K145" s="23"/>
      <c r="L145" t="str">
        <f>IF(K145="","",IFERROR(_xlfn.XLOOKUP(K145,verfvoorraad!C:C,verfvoorraad!B:B),IFERROR(_xlfn.XLOOKUP(IF(LEFT(UPPER(K145),4)="REV-","REV-"&amp;VALUE(MID(K145,5,99)),IF(LEN(K145)=5,LEFT(K145,2)&amp;"."&amp;RIGHT(K145,3),K145)),verfvoorraad!E:E,verfvoorraad!B:B),"Niet gevonden")))</f>
        <v/>
      </c>
      <c r="M145" t="str">
        <f>IF(K145="","",IFERROR(_xlfn.XLOOKUP(K145,verfvoorraad!C:C,verfvoorraad!D:D),IFERROR(_xlfn.XLOOKUP(IF(LEFT(UPPER(K145),4)="REV-","REV-"&amp;VALUE(MID(K145,5,99)),IF(LEN(K145)=5,LEFT(K145,2)&amp;"."&amp;RIGHT(K145,3),K145)),verfvoorraad!E:E,verfvoorraad!D:D),"Niet gevonden")))</f>
        <v/>
      </c>
      <c r="N145" t="str">
        <f>IF(K145="","",IFERROR(_xlfn.XLOOKUP(K145,verfvoorraad!C:C,verfvoorraad!E:E),IFERROR(_xlfn.XLOOKUP(IF(LEFT(UPPER(K145),4)="REV-","REV-"&amp;VALUE(MID(K145,5,99)),IF(LEN(K145)=5,LEFT(K145,2)&amp;"."&amp;RIGHT(K145,3),K145)),verfvoorraad!E:E,verfvoorraad!E:E),"Niet gevonden")))</f>
        <v/>
      </c>
      <c r="O145" t="str">
        <f>IF(K145="","",IFERROR(_xlfn.XLOOKUP(K145,verfvoorraad!C:C,verfvoorraad!F:F),IFERROR(_xlfn.XLOOKUP(IF(LEFT(UPPER(K145),4)="REV-","REV-"&amp;VALUE(MID(K145,5,99)),IF(LEN(K145)=5,LEFT(K145,2)&amp;"."&amp;RIGHT(K145,3),K145)),verfvoorraad!E:E,verfvoorraad!F:F),"Niet gevonden")))</f>
        <v/>
      </c>
      <c r="P145" t="str">
        <f>IF(K145="","",IFERROR(_xlfn.XLOOKUP(K145,verfvoorraad!C:C,verfvoorraad!G:G),IFERROR(_xlfn.XLOOKUP(IF(LEFT(UPPER(K145),4)="REV-","REV-"&amp;VALUE(MID(K145,5,99)),IF(LEN(K145)=5,LEFT(K145,2)&amp;"."&amp;RIGHT(K145,3),K145)),verfvoorraad!E:E,verfvoorraad!G:G),"Niet gevonden")))</f>
        <v/>
      </c>
      <c r="Q145" t="str">
        <f t="shared" si="2"/>
        <v/>
      </c>
      <c r="R145" t="str">
        <f t="shared" si="3"/>
        <v/>
      </c>
    </row>
    <row r="146" spans="6:18" x14ac:dyDescent="0.25">
      <c r="F146"/>
      <c r="G146" s="20"/>
      <c r="H146" s="21"/>
      <c r="K146" s="23"/>
      <c r="L146" t="str">
        <f>IF(K146="","",IFERROR(_xlfn.XLOOKUP(K146,verfvoorraad!C:C,verfvoorraad!B:B),IFERROR(_xlfn.XLOOKUP(IF(LEFT(UPPER(K146),4)="REV-","REV-"&amp;VALUE(MID(K146,5,99)),IF(LEN(K146)=5,LEFT(K146,2)&amp;"."&amp;RIGHT(K146,3),K146)),verfvoorraad!E:E,verfvoorraad!B:B),"Niet gevonden")))</f>
        <v/>
      </c>
      <c r="M146" t="str">
        <f>IF(K146="","",IFERROR(_xlfn.XLOOKUP(K146,verfvoorraad!C:C,verfvoorraad!D:D),IFERROR(_xlfn.XLOOKUP(IF(LEFT(UPPER(K146),4)="REV-","REV-"&amp;VALUE(MID(K146,5,99)),IF(LEN(K146)=5,LEFT(K146,2)&amp;"."&amp;RIGHT(K146,3),K146)),verfvoorraad!E:E,verfvoorraad!D:D),"Niet gevonden")))</f>
        <v/>
      </c>
      <c r="N146" t="str">
        <f>IF(K146="","",IFERROR(_xlfn.XLOOKUP(K146,verfvoorraad!C:C,verfvoorraad!E:E),IFERROR(_xlfn.XLOOKUP(IF(LEFT(UPPER(K146),4)="REV-","REV-"&amp;VALUE(MID(K146,5,99)),IF(LEN(K146)=5,LEFT(K146,2)&amp;"."&amp;RIGHT(K146,3),K146)),verfvoorraad!E:E,verfvoorraad!E:E),"Niet gevonden")))</f>
        <v/>
      </c>
      <c r="O146" t="str">
        <f>IF(K146="","",IFERROR(_xlfn.XLOOKUP(K146,verfvoorraad!C:C,verfvoorraad!F:F),IFERROR(_xlfn.XLOOKUP(IF(LEFT(UPPER(K146),4)="REV-","REV-"&amp;VALUE(MID(K146,5,99)),IF(LEN(K146)=5,LEFT(K146,2)&amp;"."&amp;RIGHT(K146,3),K146)),verfvoorraad!E:E,verfvoorraad!F:F),"Niet gevonden")))</f>
        <v/>
      </c>
      <c r="P146" t="str">
        <f>IF(K146="","",IFERROR(_xlfn.XLOOKUP(K146,verfvoorraad!C:C,verfvoorraad!G:G),IFERROR(_xlfn.XLOOKUP(IF(LEFT(UPPER(K146),4)="REV-","REV-"&amp;VALUE(MID(K146,5,99)),IF(LEN(K146)=5,LEFT(K146,2)&amp;"."&amp;RIGHT(K146,3),K146)),verfvoorraad!E:E,verfvoorraad!G:G),"Niet gevonden")))</f>
        <v/>
      </c>
      <c r="Q146" t="str">
        <f t="shared" si="2"/>
        <v/>
      </c>
      <c r="R146" t="str">
        <f t="shared" si="3"/>
        <v/>
      </c>
    </row>
    <row r="147" spans="6:18" x14ac:dyDescent="0.25">
      <c r="F147"/>
      <c r="G147" s="20"/>
      <c r="H147" s="21"/>
      <c r="K147" s="23"/>
      <c r="L147" t="str">
        <f>IF(K147="","",IFERROR(_xlfn.XLOOKUP(K147,verfvoorraad!C:C,verfvoorraad!B:B),IFERROR(_xlfn.XLOOKUP(IF(LEFT(UPPER(K147),4)="REV-","REV-"&amp;VALUE(MID(K147,5,99)),IF(LEN(K147)=5,LEFT(K147,2)&amp;"."&amp;RIGHT(K147,3),K147)),verfvoorraad!E:E,verfvoorraad!B:B),"Niet gevonden")))</f>
        <v/>
      </c>
      <c r="M147" t="str">
        <f>IF(K147="","",IFERROR(_xlfn.XLOOKUP(K147,verfvoorraad!C:C,verfvoorraad!D:D),IFERROR(_xlfn.XLOOKUP(IF(LEFT(UPPER(K147),4)="REV-","REV-"&amp;VALUE(MID(K147,5,99)),IF(LEN(K147)=5,LEFT(K147,2)&amp;"."&amp;RIGHT(K147,3),K147)),verfvoorraad!E:E,verfvoorraad!D:D),"Niet gevonden")))</f>
        <v/>
      </c>
      <c r="N147" t="str">
        <f>IF(K147="","",IFERROR(_xlfn.XLOOKUP(K147,verfvoorraad!C:C,verfvoorraad!E:E),IFERROR(_xlfn.XLOOKUP(IF(LEFT(UPPER(K147),4)="REV-","REV-"&amp;VALUE(MID(K147,5,99)),IF(LEN(K147)=5,LEFT(K147,2)&amp;"."&amp;RIGHT(K147,3),K147)),verfvoorraad!E:E,verfvoorraad!E:E),"Niet gevonden")))</f>
        <v/>
      </c>
      <c r="O147" t="str">
        <f>IF(K147="","",IFERROR(_xlfn.XLOOKUP(K147,verfvoorraad!C:C,verfvoorraad!F:F),IFERROR(_xlfn.XLOOKUP(IF(LEFT(UPPER(K147),4)="REV-","REV-"&amp;VALUE(MID(K147,5,99)),IF(LEN(K147)=5,LEFT(K147,2)&amp;"."&amp;RIGHT(K147,3),K147)),verfvoorraad!E:E,verfvoorraad!F:F),"Niet gevonden")))</f>
        <v/>
      </c>
      <c r="P147" t="str">
        <f>IF(K147="","",IFERROR(_xlfn.XLOOKUP(K147,verfvoorraad!C:C,verfvoorraad!G:G),IFERROR(_xlfn.XLOOKUP(IF(LEFT(UPPER(K147),4)="REV-","REV-"&amp;VALUE(MID(K147,5,99)),IF(LEN(K147)=5,LEFT(K147,2)&amp;"."&amp;RIGHT(K147,3),K147)),verfvoorraad!E:E,verfvoorraad!G:G),"Niet gevonden")))</f>
        <v/>
      </c>
      <c r="Q147" t="str">
        <f t="shared" si="2"/>
        <v/>
      </c>
      <c r="R147" t="str">
        <f t="shared" si="3"/>
        <v/>
      </c>
    </row>
    <row r="148" spans="6:18" x14ac:dyDescent="0.25">
      <c r="F148"/>
      <c r="G148" s="20"/>
      <c r="H148" s="21"/>
      <c r="K148" s="23"/>
      <c r="L148" t="str">
        <f>IF(K148="","",IFERROR(_xlfn.XLOOKUP(K148,verfvoorraad!C:C,verfvoorraad!B:B),IFERROR(_xlfn.XLOOKUP(IF(LEFT(UPPER(K148),4)="REV-","REV-"&amp;VALUE(MID(K148,5,99)),IF(LEN(K148)=5,LEFT(K148,2)&amp;"."&amp;RIGHT(K148,3),K148)),verfvoorraad!E:E,verfvoorraad!B:B),"Niet gevonden")))</f>
        <v/>
      </c>
      <c r="M148" t="str">
        <f>IF(K148="","",IFERROR(_xlfn.XLOOKUP(K148,verfvoorraad!C:C,verfvoorraad!D:D),IFERROR(_xlfn.XLOOKUP(IF(LEFT(UPPER(K148),4)="REV-","REV-"&amp;VALUE(MID(K148,5,99)),IF(LEN(K148)=5,LEFT(K148,2)&amp;"."&amp;RIGHT(K148,3),K148)),verfvoorraad!E:E,verfvoorraad!D:D),"Niet gevonden")))</f>
        <v/>
      </c>
      <c r="N148" t="str">
        <f>IF(K148="","",IFERROR(_xlfn.XLOOKUP(K148,verfvoorraad!C:C,verfvoorraad!E:E),IFERROR(_xlfn.XLOOKUP(IF(LEFT(UPPER(K148),4)="REV-","REV-"&amp;VALUE(MID(K148,5,99)),IF(LEN(K148)=5,LEFT(K148,2)&amp;"."&amp;RIGHT(K148,3),K148)),verfvoorraad!E:E,verfvoorraad!E:E),"Niet gevonden")))</f>
        <v/>
      </c>
      <c r="O148" t="str">
        <f>IF(K148="","",IFERROR(_xlfn.XLOOKUP(K148,verfvoorraad!C:C,verfvoorraad!F:F),IFERROR(_xlfn.XLOOKUP(IF(LEFT(UPPER(K148),4)="REV-","REV-"&amp;VALUE(MID(K148,5,99)),IF(LEN(K148)=5,LEFT(K148,2)&amp;"."&amp;RIGHT(K148,3),K148)),verfvoorraad!E:E,verfvoorraad!F:F),"Niet gevonden")))</f>
        <v/>
      </c>
      <c r="P148" t="str">
        <f>IF(K148="","",IFERROR(_xlfn.XLOOKUP(K148,verfvoorraad!C:C,verfvoorraad!G:G),IFERROR(_xlfn.XLOOKUP(IF(LEFT(UPPER(K148),4)="REV-","REV-"&amp;VALUE(MID(K148,5,99)),IF(LEN(K148)=5,LEFT(K148,2)&amp;"."&amp;RIGHT(K148,3),K148)),verfvoorraad!E:E,verfvoorraad!G:G),"Niet gevonden")))</f>
        <v/>
      </c>
      <c r="Q148" t="str">
        <f t="shared" si="2"/>
        <v/>
      </c>
      <c r="R148" t="str">
        <f t="shared" si="3"/>
        <v/>
      </c>
    </row>
    <row r="149" spans="6:18" x14ac:dyDescent="0.25">
      <c r="F149"/>
      <c r="G149" s="20"/>
      <c r="H149" s="21"/>
      <c r="K149" s="23"/>
      <c r="L149" t="str">
        <f>IF(K149="","",IFERROR(_xlfn.XLOOKUP(K149,verfvoorraad!C:C,verfvoorraad!B:B),IFERROR(_xlfn.XLOOKUP(IF(LEFT(UPPER(K149),4)="REV-","REV-"&amp;VALUE(MID(K149,5,99)),IF(LEN(K149)=5,LEFT(K149,2)&amp;"."&amp;RIGHT(K149,3),K149)),verfvoorraad!E:E,verfvoorraad!B:B),"Niet gevonden")))</f>
        <v/>
      </c>
      <c r="M149" t="str">
        <f>IF(K149="","",IFERROR(_xlfn.XLOOKUP(K149,verfvoorraad!C:C,verfvoorraad!D:D),IFERROR(_xlfn.XLOOKUP(IF(LEFT(UPPER(K149),4)="REV-","REV-"&amp;VALUE(MID(K149,5,99)),IF(LEN(K149)=5,LEFT(K149,2)&amp;"."&amp;RIGHT(K149,3),K149)),verfvoorraad!E:E,verfvoorraad!D:D),"Niet gevonden")))</f>
        <v/>
      </c>
      <c r="N149" t="str">
        <f>IF(K149="","",IFERROR(_xlfn.XLOOKUP(K149,verfvoorraad!C:C,verfvoorraad!E:E),IFERROR(_xlfn.XLOOKUP(IF(LEFT(UPPER(K149),4)="REV-","REV-"&amp;VALUE(MID(K149,5,99)),IF(LEN(K149)=5,LEFT(K149,2)&amp;"."&amp;RIGHT(K149,3),K149)),verfvoorraad!E:E,verfvoorraad!E:E),"Niet gevonden")))</f>
        <v/>
      </c>
      <c r="O149" t="str">
        <f>IF(K149="","",IFERROR(_xlfn.XLOOKUP(K149,verfvoorraad!C:C,verfvoorraad!F:F),IFERROR(_xlfn.XLOOKUP(IF(LEFT(UPPER(K149),4)="REV-","REV-"&amp;VALUE(MID(K149,5,99)),IF(LEN(K149)=5,LEFT(K149,2)&amp;"."&amp;RIGHT(K149,3),K149)),verfvoorraad!E:E,verfvoorraad!F:F),"Niet gevonden")))</f>
        <v/>
      </c>
      <c r="P149" t="str">
        <f>IF(K149="","",IFERROR(_xlfn.XLOOKUP(K149,verfvoorraad!C:C,verfvoorraad!G:G),IFERROR(_xlfn.XLOOKUP(IF(LEFT(UPPER(K149),4)="REV-","REV-"&amp;VALUE(MID(K149,5,99)),IF(LEN(K149)=5,LEFT(K149,2)&amp;"."&amp;RIGHT(K149,3),K149)),verfvoorraad!E:E,verfvoorraad!G:G),"Niet gevonden")))</f>
        <v/>
      </c>
      <c r="Q149" t="str">
        <f t="shared" ref="Q149:Q212" si="4">IF(K149="","",IF(O149="Ja","Nee",IF(O149="Nee","Ja",IF(O149="Niet gevonden","Niet gevonden",""))))</f>
        <v/>
      </c>
      <c r="R149" t="str">
        <f t="shared" ref="R149:R212" si="5">IF(Q149="Ja","Toevoegen","")</f>
        <v/>
      </c>
    </row>
    <row r="150" spans="6:18" x14ac:dyDescent="0.25">
      <c r="F150"/>
      <c r="G150" s="20"/>
      <c r="H150" s="21"/>
      <c r="K150" s="23"/>
      <c r="L150" t="str">
        <f>IF(K150="","",IFERROR(_xlfn.XLOOKUP(K150,verfvoorraad!C:C,verfvoorraad!B:B),IFERROR(_xlfn.XLOOKUP(IF(LEFT(UPPER(K150),4)="REV-","REV-"&amp;VALUE(MID(K150,5,99)),IF(LEN(K150)=5,LEFT(K150,2)&amp;"."&amp;RIGHT(K150,3),K150)),verfvoorraad!E:E,verfvoorraad!B:B),"Niet gevonden")))</f>
        <v/>
      </c>
      <c r="M150" t="str">
        <f>IF(K150="","",IFERROR(_xlfn.XLOOKUP(K150,verfvoorraad!C:C,verfvoorraad!D:D),IFERROR(_xlfn.XLOOKUP(IF(LEFT(UPPER(K150),4)="REV-","REV-"&amp;VALUE(MID(K150,5,99)),IF(LEN(K150)=5,LEFT(K150,2)&amp;"."&amp;RIGHT(K150,3),K150)),verfvoorraad!E:E,verfvoorraad!D:D),"Niet gevonden")))</f>
        <v/>
      </c>
      <c r="N150" t="str">
        <f>IF(K150="","",IFERROR(_xlfn.XLOOKUP(K150,verfvoorraad!C:C,verfvoorraad!E:E),IFERROR(_xlfn.XLOOKUP(IF(LEFT(UPPER(K150),4)="REV-","REV-"&amp;VALUE(MID(K150,5,99)),IF(LEN(K150)=5,LEFT(K150,2)&amp;"."&amp;RIGHT(K150,3),K150)),verfvoorraad!E:E,verfvoorraad!E:E),"Niet gevonden")))</f>
        <v/>
      </c>
      <c r="O150" t="str">
        <f>IF(K150="","",IFERROR(_xlfn.XLOOKUP(K150,verfvoorraad!C:C,verfvoorraad!F:F),IFERROR(_xlfn.XLOOKUP(IF(LEFT(UPPER(K150),4)="REV-","REV-"&amp;VALUE(MID(K150,5,99)),IF(LEN(K150)=5,LEFT(K150,2)&amp;"."&amp;RIGHT(K150,3),K150)),verfvoorraad!E:E,verfvoorraad!F:F),"Niet gevonden")))</f>
        <v/>
      </c>
      <c r="P150" t="str">
        <f>IF(K150="","",IFERROR(_xlfn.XLOOKUP(K150,verfvoorraad!C:C,verfvoorraad!G:G),IFERROR(_xlfn.XLOOKUP(IF(LEFT(UPPER(K150),4)="REV-","REV-"&amp;VALUE(MID(K150,5,99)),IF(LEN(K150)=5,LEFT(K150,2)&amp;"."&amp;RIGHT(K150,3),K150)),verfvoorraad!E:E,verfvoorraad!G:G),"Niet gevonden")))</f>
        <v/>
      </c>
      <c r="Q150" t="str">
        <f t="shared" si="4"/>
        <v/>
      </c>
      <c r="R150" t="str">
        <f t="shared" si="5"/>
        <v/>
      </c>
    </row>
    <row r="151" spans="6:18" x14ac:dyDescent="0.25">
      <c r="F151"/>
      <c r="G151" s="20"/>
      <c r="H151" s="21"/>
      <c r="K151" s="23"/>
      <c r="L151" t="str">
        <f>IF(K151="","",IFERROR(_xlfn.XLOOKUP(K151,verfvoorraad!C:C,verfvoorraad!B:B),IFERROR(_xlfn.XLOOKUP(IF(LEFT(UPPER(K151),4)="REV-","REV-"&amp;VALUE(MID(K151,5,99)),IF(LEN(K151)=5,LEFT(K151,2)&amp;"."&amp;RIGHT(K151,3),K151)),verfvoorraad!E:E,verfvoorraad!B:B),"Niet gevonden")))</f>
        <v/>
      </c>
      <c r="M151" t="str">
        <f>IF(K151="","",IFERROR(_xlfn.XLOOKUP(K151,verfvoorraad!C:C,verfvoorraad!D:D),IFERROR(_xlfn.XLOOKUP(IF(LEFT(UPPER(K151),4)="REV-","REV-"&amp;VALUE(MID(K151,5,99)),IF(LEN(K151)=5,LEFT(K151,2)&amp;"."&amp;RIGHT(K151,3),K151)),verfvoorraad!E:E,verfvoorraad!D:D),"Niet gevonden")))</f>
        <v/>
      </c>
      <c r="N151" t="str">
        <f>IF(K151="","",IFERROR(_xlfn.XLOOKUP(K151,verfvoorraad!C:C,verfvoorraad!E:E),IFERROR(_xlfn.XLOOKUP(IF(LEFT(UPPER(K151),4)="REV-","REV-"&amp;VALUE(MID(K151,5,99)),IF(LEN(K151)=5,LEFT(K151,2)&amp;"."&amp;RIGHT(K151,3),K151)),verfvoorraad!E:E,verfvoorraad!E:E),"Niet gevonden")))</f>
        <v/>
      </c>
      <c r="O151" t="str">
        <f>IF(K151="","",IFERROR(_xlfn.XLOOKUP(K151,verfvoorraad!C:C,verfvoorraad!F:F),IFERROR(_xlfn.XLOOKUP(IF(LEFT(UPPER(K151),4)="REV-","REV-"&amp;VALUE(MID(K151,5,99)),IF(LEN(K151)=5,LEFT(K151,2)&amp;"."&amp;RIGHT(K151,3),K151)),verfvoorraad!E:E,verfvoorraad!F:F),"Niet gevonden")))</f>
        <v/>
      </c>
      <c r="P151" t="str">
        <f>IF(K151="","",IFERROR(_xlfn.XLOOKUP(K151,verfvoorraad!C:C,verfvoorraad!G:G),IFERROR(_xlfn.XLOOKUP(IF(LEFT(UPPER(K151),4)="REV-","REV-"&amp;VALUE(MID(K151,5,99)),IF(LEN(K151)=5,LEFT(K151,2)&amp;"."&amp;RIGHT(K151,3),K151)),verfvoorraad!E:E,verfvoorraad!G:G),"Niet gevonden")))</f>
        <v/>
      </c>
      <c r="Q151" t="str">
        <f t="shared" si="4"/>
        <v/>
      </c>
      <c r="R151" t="str">
        <f t="shared" si="5"/>
        <v/>
      </c>
    </row>
    <row r="152" spans="6:18" x14ac:dyDescent="0.25">
      <c r="F152"/>
      <c r="G152" s="20"/>
      <c r="H152" s="21"/>
      <c r="K152" s="23"/>
      <c r="L152" t="str">
        <f>IF(K152="","",IFERROR(_xlfn.XLOOKUP(K152,verfvoorraad!C:C,verfvoorraad!B:B),IFERROR(_xlfn.XLOOKUP(IF(LEFT(UPPER(K152),4)="REV-","REV-"&amp;VALUE(MID(K152,5,99)),IF(LEN(K152)=5,LEFT(K152,2)&amp;"."&amp;RIGHT(K152,3),K152)),verfvoorraad!E:E,verfvoorraad!B:B),"Niet gevonden")))</f>
        <v/>
      </c>
      <c r="M152" t="str">
        <f>IF(K152="","",IFERROR(_xlfn.XLOOKUP(K152,verfvoorraad!C:C,verfvoorraad!D:D),IFERROR(_xlfn.XLOOKUP(IF(LEFT(UPPER(K152),4)="REV-","REV-"&amp;VALUE(MID(K152,5,99)),IF(LEN(K152)=5,LEFT(K152,2)&amp;"."&amp;RIGHT(K152,3),K152)),verfvoorraad!E:E,verfvoorraad!D:D),"Niet gevonden")))</f>
        <v/>
      </c>
      <c r="N152" t="str">
        <f>IF(K152="","",IFERROR(_xlfn.XLOOKUP(K152,verfvoorraad!C:C,verfvoorraad!E:E),IFERROR(_xlfn.XLOOKUP(IF(LEFT(UPPER(K152),4)="REV-","REV-"&amp;VALUE(MID(K152,5,99)),IF(LEN(K152)=5,LEFT(K152,2)&amp;"."&amp;RIGHT(K152,3),K152)),verfvoorraad!E:E,verfvoorraad!E:E),"Niet gevonden")))</f>
        <v/>
      </c>
      <c r="O152" t="str">
        <f>IF(K152="","",IFERROR(_xlfn.XLOOKUP(K152,verfvoorraad!C:C,verfvoorraad!F:F),IFERROR(_xlfn.XLOOKUP(IF(LEFT(UPPER(K152),4)="REV-","REV-"&amp;VALUE(MID(K152,5,99)),IF(LEN(K152)=5,LEFT(K152,2)&amp;"."&amp;RIGHT(K152,3),K152)),verfvoorraad!E:E,verfvoorraad!F:F),"Niet gevonden")))</f>
        <v/>
      </c>
      <c r="P152" t="str">
        <f>IF(K152="","",IFERROR(_xlfn.XLOOKUP(K152,verfvoorraad!C:C,verfvoorraad!G:G),IFERROR(_xlfn.XLOOKUP(IF(LEFT(UPPER(K152),4)="REV-","REV-"&amp;VALUE(MID(K152,5,99)),IF(LEN(K152)=5,LEFT(K152,2)&amp;"."&amp;RIGHT(K152,3),K152)),verfvoorraad!E:E,verfvoorraad!G:G),"Niet gevonden")))</f>
        <v/>
      </c>
      <c r="Q152" t="str">
        <f t="shared" si="4"/>
        <v/>
      </c>
      <c r="R152" t="str">
        <f t="shared" si="5"/>
        <v/>
      </c>
    </row>
    <row r="153" spans="6:18" x14ac:dyDescent="0.25">
      <c r="F153"/>
      <c r="G153" s="20"/>
      <c r="H153" s="21"/>
      <c r="K153" s="23"/>
      <c r="L153" t="str">
        <f>IF(K153="","",IFERROR(_xlfn.XLOOKUP(K153,verfvoorraad!C:C,verfvoorraad!B:B),IFERROR(_xlfn.XLOOKUP(IF(LEFT(UPPER(K153),4)="REV-","REV-"&amp;VALUE(MID(K153,5,99)),IF(LEN(K153)=5,LEFT(K153,2)&amp;"."&amp;RIGHT(K153,3),K153)),verfvoorraad!E:E,verfvoorraad!B:B),"Niet gevonden")))</f>
        <v/>
      </c>
      <c r="M153" t="str">
        <f>IF(K153="","",IFERROR(_xlfn.XLOOKUP(K153,verfvoorraad!C:C,verfvoorraad!D:D),IFERROR(_xlfn.XLOOKUP(IF(LEFT(UPPER(K153),4)="REV-","REV-"&amp;VALUE(MID(K153,5,99)),IF(LEN(K153)=5,LEFT(K153,2)&amp;"."&amp;RIGHT(K153,3),K153)),verfvoorraad!E:E,verfvoorraad!D:D),"Niet gevonden")))</f>
        <v/>
      </c>
      <c r="N153" t="str">
        <f>IF(K153="","",IFERROR(_xlfn.XLOOKUP(K153,verfvoorraad!C:C,verfvoorraad!E:E),IFERROR(_xlfn.XLOOKUP(IF(LEFT(UPPER(K153),4)="REV-","REV-"&amp;VALUE(MID(K153,5,99)),IF(LEN(K153)=5,LEFT(K153,2)&amp;"."&amp;RIGHT(K153,3),K153)),verfvoorraad!E:E,verfvoorraad!E:E),"Niet gevonden")))</f>
        <v/>
      </c>
      <c r="O153" t="str">
        <f>IF(K153="","",IFERROR(_xlfn.XLOOKUP(K153,verfvoorraad!C:C,verfvoorraad!F:F),IFERROR(_xlfn.XLOOKUP(IF(LEFT(UPPER(K153),4)="REV-","REV-"&amp;VALUE(MID(K153,5,99)),IF(LEN(K153)=5,LEFT(K153,2)&amp;"."&amp;RIGHT(K153,3),K153)),verfvoorraad!E:E,verfvoorraad!F:F),"Niet gevonden")))</f>
        <v/>
      </c>
      <c r="P153" t="str">
        <f>IF(K153="","",IFERROR(_xlfn.XLOOKUP(K153,verfvoorraad!C:C,verfvoorraad!G:G),IFERROR(_xlfn.XLOOKUP(IF(LEFT(UPPER(K153),4)="REV-","REV-"&amp;VALUE(MID(K153,5,99)),IF(LEN(K153)=5,LEFT(K153,2)&amp;"."&amp;RIGHT(K153,3),K153)),verfvoorraad!E:E,verfvoorraad!G:G),"Niet gevonden")))</f>
        <v/>
      </c>
      <c r="Q153" t="str">
        <f t="shared" si="4"/>
        <v/>
      </c>
      <c r="R153" t="str">
        <f t="shared" si="5"/>
        <v/>
      </c>
    </row>
    <row r="154" spans="6:18" x14ac:dyDescent="0.25">
      <c r="F154"/>
      <c r="G154" s="20"/>
      <c r="H154" s="21"/>
      <c r="K154" s="23"/>
      <c r="L154" t="str">
        <f>IF(K154="","",IFERROR(_xlfn.XLOOKUP(K154,verfvoorraad!C:C,verfvoorraad!B:B),IFERROR(_xlfn.XLOOKUP(IF(LEFT(UPPER(K154),4)="REV-","REV-"&amp;VALUE(MID(K154,5,99)),IF(LEN(K154)=5,LEFT(K154,2)&amp;"."&amp;RIGHT(K154,3),K154)),verfvoorraad!E:E,verfvoorraad!B:B),"Niet gevonden")))</f>
        <v/>
      </c>
      <c r="M154" t="str">
        <f>IF(K154="","",IFERROR(_xlfn.XLOOKUP(K154,verfvoorraad!C:C,verfvoorraad!D:D),IFERROR(_xlfn.XLOOKUP(IF(LEFT(UPPER(K154),4)="REV-","REV-"&amp;VALUE(MID(K154,5,99)),IF(LEN(K154)=5,LEFT(K154,2)&amp;"."&amp;RIGHT(K154,3),K154)),verfvoorraad!E:E,verfvoorraad!D:D),"Niet gevonden")))</f>
        <v/>
      </c>
      <c r="N154" t="str">
        <f>IF(K154="","",IFERROR(_xlfn.XLOOKUP(K154,verfvoorraad!C:C,verfvoorraad!E:E),IFERROR(_xlfn.XLOOKUP(IF(LEFT(UPPER(K154),4)="REV-","REV-"&amp;VALUE(MID(K154,5,99)),IF(LEN(K154)=5,LEFT(K154,2)&amp;"."&amp;RIGHT(K154,3),K154)),verfvoorraad!E:E,verfvoorraad!E:E),"Niet gevonden")))</f>
        <v/>
      </c>
      <c r="O154" t="str">
        <f>IF(K154="","",IFERROR(_xlfn.XLOOKUP(K154,verfvoorraad!C:C,verfvoorraad!F:F),IFERROR(_xlfn.XLOOKUP(IF(LEFT(UPPER(K154),4)="REV-","REV-"&amp;VALUE(MID(K154,5,99)),IF(LEN(K154)=5,LEFT(K154,2)&amp;"."&amp;RIGHT(K154,3),K154)),verfvoorraad!E:E,verfvoorraad!F:F),"Niet gevonden")))</f>
        <v/>
      </c>
      <c r="P154" t="str">
        <f>IF(K154="","",IFERROR(_xlfn.XLOOKUP(K154,verfvoorraad!C:C,verfvoorraad!G:G),IFERROR(_xlfn.XLOOKUP(IF(LEFT(UPPER(K154),4)="REV-","REV-"&amp;VALUE(MID(K154,5,99)),IF(LEN(K154)=5,LEFT(K154,2)&amp;"."&amp;RIGHT(K154,3),K154)),verfvoorraad!E:E,verfvoorraad!G:G),"Niet gevonden")))</f>
        <v/>
      </c>
      <c r="Q154" t="str">
        <f t="shared" si="4"/>
        <v/>
      </c>
      <c r="R154" t="str">
        <f t="shared" si="5"/>
        <v/>
      </c>
    </row>
    <row r="155" spans="6:18" x14ac:dyDescent="0.25">
      <c r="F155"/>
      <c r="G155" s="20"/>
      <c r="H155" s="21"/>
      <c r="K155" s="23"/>
      <c r="L155" t="str">
        <f>IF(K155="","",IFERROR(_xlfn.XLOOKUP(K155,verfvoorraad!C:C,verfvoorraad!B:B),IFERROR(_xlfn.XLOOKUP(IF(LEFT(UPPER(K155),4)="REV-","REV-"&amp;VALUE(MID(K155,5,99)),IF(LEN(K155)=5,LEFT(K155,2)&amp;"."&amp;RIGHT(K155,3),K155)),verfvoorraad!E:E,verfvoorraad!B:B),"Niet gevonden")))</f>
        <v/>
      </c>
      <c r="M155" t="str">
        <f>IF(K155="","",IFERROR(_xlfn.XLOOKUP(K155,verfvoorraad!C:C,verfvoorraad!D:D),IFERROR(_xlfn.XLOOKUP(IF(LEFT(UPPER(K155),4)="REV-","REV-"&amp;VALUE(MID(K155,5,99)),IF(LEN(K155)=5,LEFT(K155,2)&amp;"."&amp;RIGHT(K155,3),K155)),verfvoorraad!E:E,verfvoorraad!D:D),"Niet gevonden")))</f>
        <v/>
      </c>
      <c r="N155" t="str">
        <f>IF(K155="","",IFERROR(_xlfn.XLOOKUP(K155,verfvoorraad!C:C,verfvoorraad!E:E),IFERROR(_xlfn.XLOOKUP(IF(LEFT(UPPER(K155),4)="REV-","REV-"&amp;VALUE(MID(K155,5,99)),IF(LEN(K155)=5,LEFT(K155,2)&amp;"."&amp;RIGHT(K155,3),K155)),verfvoorraad!E:E,verfvoorraad!E:E),"Niet gevonden")))</f>
        <v/>
      </c>
      <c r="O155" t="str">
        <f>IF(K155="","",IFERROR(_xlfn.XLOOKUP(K155,verfvoorraad!C:C,verfvoorraad!F:F),IFERROR(_xlfn.XLOOKUP(IF(LEFT(UPPER(K155),4)="REV-","REV-"&amp;VALUE(MID(K155,5,99)),IF(LEN(K155)=5,LEFT(K155,2)&amp;"."&amp;RIGHT(K155,3),K155)),verfvoorraad!E:E,verfvoorraad!F:F),"Niet gevonden")))</f>
        <v/>
      </c>
      <c r="P155" t="str">
        <f>IF(K155="","",IFERROR(_xlfn.XLOOKUP(K155,verfvoorraad!C:C,verfvoorraad!G:G),IFERROR(_xlfn.XLOOKUP(IF(LEFT(UPPER(K155),4)="REV-","REV-"&amp;VALUE(MID(K155,5,99)),IF(LEN(K155)=5,LEFT(K155,2)&amp;"."&amp;RIGHT(K155,3),K155)),verfvoorraad!E:E,verfvoorraad!G:G),"Niet gevonden")))</f>
        <v/>
      </c>
      <c r="Q155" t="str">
        <f t="shared" si="4"/>
        <v/>
      </c>
      <c r="R155" t="str">
        <f t="shared" si="5"/>
        <v/>
      </c>
    </row>
    <row r="156" spans="6:18" x14ac:dyDescent="0.25">
      <c r="F156"/>
      <c r="G156" s="20"/>
      <c r="H156" s="21"/>
      <c r="K156" s="23"/>
      <c r="L156" t="str">
        <f>IF(K156="","",IFERROR(_xlfn.XLOOKUP(K156,verfvoorraad!C:C,verfvoorraad!B:B),IFERROR(_xlfn.XLOOKUP(IF(LEFT(UPPER(K156),4)="REV-","REV-"&amp;VALUE(MID(K156,5,99)),IF(LEN(K156)=5,LEFT(K156,2)&amp;"."&amp;RIGHT(K156,3),K156)),verfvoorraad!E:E,verfvoorraad!B:B),"Niet gevonden")))</f>
        <v/>
      </c>
      <c r="M156" t="str">
        <f>IF(K156="","",IFERROR(_xlfn.XLOOKUP(K156,verfvoorraad!C:C,verfvoorraad!D:D),IFERROR(_xlfn.XLOOKUP(IF(LEFT(UPPER(K156),4)="REV-","REV-"&amp;VALUE(MID(K156,5,99)),IF(LEN(K156)=5,LEFT(K156,2)&amp;"."&amp;RIGHT(K156,3),K156)),verfvoorraad!E:E,verfvoorraad!D:D),"Niet gevonden")))</f>
        <v/>
      </c>
      <c r="N156" t="str">
        <f>IF(K156="","",IFERROR(_xlfn.XLOOKUP(K156,verfvoorraad!C:C,verfvoorraad!E:E),IFERROR(_xlfn.XLOOKUP(IF(LEFT(UPPER(K156),4)="REV-","REV-"&amp;VALUE(MID(K156,5,99)),IF(LEN(K156)=5,LEFT(K156,2)&amp;"."&amp;RIGHT(K156,3),K156)),verfvoorraad!E:E,verfvoorraad!E:E),"Niet gevonden")))</f>
        <v/>
      </c>
      <c r="O156" t="str">
        <f>IF(K156="","",IFERROR(_xlfn.XLOOKUP(K156,verfvoorraad!C:C,verfvoorraad!F:F),IFERROR(_xlfn.XLOOKUP(IF(LEFT(UPPER(K156),4)="REV-","REV-"&amp;VALUE(MID(K156,5,99)),IF(LEN(K156)=5,LEFT(K156,2)&amp;"."&amp;RIGHT(K156,3),K156)),verfvoorraad!E:E,verfvoorraad!F:F),"Niet gevonden")))</f>
        <v/>
      </c>
      <c r="P156" t="str">
        <f>IF(K156="","",IFERROR(_xlfn.XLOOKUP(K156,verfvoorraad!C:C,verfvoorraad!G:G),IFERROR(_xlfn.XLOOKUP(IF(LEFT(UPPER(K156),4)="REV-","REV-"&amp;VALUE(MID(K156,5,99)),IF(LEN(K156)=5,LEFT(K156,2)&amp;"."&amp;RIGHT(K156,3),K156)),verfvoorraad!E:E,verfvoorraad!G:G),"Niet gevonden")))</f>
        <v/>
      </c>
      <c r="Q156" t="str">
        <f t="shared" si="4"/>
        <v/>
      </c>
      <c r="R156" t="str">
        <f t="shared" si="5"/>
        <v/>
      </c>
    </row>
    <row r="157" spans="6:18" x14ac:dyDescent="0.25">
      <c r="F157"/>
      <c r="G157" s="20"/>
      <c r="H157" s="21"/>
      <c r="K157" s="23"/>
      <c r="L157" t="str">
        <f>IF(K157="","",IFERROR(_xlfn.XLOOKUP(K157,verfvoorraad!C:C,verfvoorraad!B:B),IFERROR(_xlfn.XLOOKUP(IF(LEFT(UPPER(K157),4)="REV-","REV-"&amp;VALUE(MID(K157,5,99)),IF(LEN(K157)=5,LEFT(K157,2)&amp;"."&amp;RIGHT(K157,3),K157)),verfvoorraad!E:E,verfvoorraad!B:B),"Niet gevonden")))</f>
        <v/>
      </c>
      <c r="M157" t="str">
        <f>IF(K157="","",IFERROR(_xlfn.XLOOKUP(K157,verfvoorraad!C:C,verfvoorraad!D:D),IFERROR(_xlfn.XLOOKUP(IF(LEFT(UPPER(K157),4)="REV-","REV-"&amp;VALUE(MID(K157,5,99)),IF(LEN(K157)=5,LEFT(K157,2)&amp;"."&amp;RIGHT(K157,3),K157)),verfvoorraad!E:E,verfvoorraad!D:D),"Niet gevonden")))</f>
        <v/>
      </c>
      <c r="N157" t="str">
        <f>IF(K157="","",IFERROR(_xlfn.XLOOKUP(K157,verfvoorraad!C:C,verfvoorraad!E:E),IFERROR(_xlfn.XLOOKUP(IF(LEFT(UPPER(K157),4)="REV-","REV-"&amp;VALUE(MID(K157,5,99)),IF(LEN(K157)=5,LEFT(K157,2)&amp;"."&amp;RIGHT(K157,3),K157)),verfvoorraad!E:E,verfvoorraad!E:E),"Niet gevonden")))</f>
        <v/>
      </c>
      <c r="O157" t="str">
        <f>IF(K157="","",IFERROR(_xlfn.XLOOKUP(K157,verfvoorraad!C:C,verfvoorraad!F:F),IFERROR(_xlfn.XLOOKUP(IF(LEFT(UPPER(K157),4)="REV-","REV-"&amp;VALUE(MID(K157,5,99)),IF(LEN(K157)=5,LEFT(K157,2)&amp;"."&amp;RIGHT(K157,3),K157)),verfvoorraad!E:E,verfvoorraad!F:F),"Niet gevonden")))</f>
        <v/>
      </c>
      <c r="P157" t="str">
        <f>IF(K157="","",IFERROR(_xlfn.XLOOKUP(K157,verfvoorraad!C:C,verfvoorraad!G:G),IFERROR(_xlfn.XLOOKUP(IF(LEFT(UPPER(K157),4)="REV-","REV-"&amp;VALUE(MID(K157,5,99)),IF(LEN(K157)=5,LEFT(K157,2)&amp;"."&amp;RIGHT(K157,3),K157)),verfvoorraad!E:E,verfvoorraad!G:G),"Niet gevonden")))</f>
        <v/>
      </c>
      <c r="Q157" t="str">
        <f t="shared" si="4"/>
        <v/>
      </c>
      <c r="R157" t="str">
        <f t="shared" si="5"/>
        <v/>
      </c>
    </row>
    <row r="158" spans="6:18" x14ac:dyDescent="0.25">
      <c r="F158"/>
      <c r="G158" s="20"/>
      <c r="H158" s="21"/>
      <c r="K158" s="23"/>
      <c r="L158" t="str">
        <f>IF(K158="","",IFERROR(_xlfn.XLOOKUP(K158,verfvoorraad!C:C,verfvoorraad!B:B),IFERROR(_xlfn.XLOOKUP(IF(LEFT(UPPER(K158),4)="REV-","REV-"&amp;VALUE(MID(K158,5,99)),IF(LEN(K158)=5,LEFT(K158,2)&amp;"."&amp;RIGHT(K158,3),K158)),verfvoorraad!E:E,verfvoorraad!B:B),"Niet gevonden")))</f>
        <v/>
      </c>
      <c r="M158" t="str">
        <f>IF(K158="","",IFERROR(_xlfn.XLOOKUP(K158,verfvoorraad!C:C,verfvoorraad!D:D),IFERROR(_xlfn.XLOOKUP(IF(LEFT(UPPER(K158),4)="REV-","REV-"&amp;VALUE(MID(K158,5,99)),IF(LEN(K158)=5,LEFT(K158,2)&amp;"."&amp;RIGHT(K158,3),K158)),verfvoorraad!E:E,verfvoorraad!D:D),"Niet gevonden")))</f>
        <v/>
      </c>
      <c r="N158" t="str">
        <f>IF(K158="","",IFERROR(_xlfn.XLOOKUP(K158,verfvoorraad!C:C,verfvoorraad!E:E),IFERROR(_xlfn.XLOOKUP(IF(LEFT(UPPER(K158),4)="REV-","REV-"&amp;VALUE(MID(K158,5,99)),IF(LEN(K158)=5,LEFT(K158,2)&amp;"."&amp;RIGHT(K158,3),K158)),verfvoorraad!E:E,verfvoorraad!E:E),"Niet gevonden")))</f>
        <v/>
      </c>
      <c r="O158" t="str">
        <f>IF(K158="","",IFERROR(_xlfn.XLOOKUP(K158,verfvoorraad!C:C,verfvoorraad!F:F),IFERROR(_xlfn.XLOOKUP(IF(LEFT(UPPER(K158),4)="REV-","REV-"&amp;VALUE(MID(K158,5,99)),IF(LEN(K158)=5,LEFT(K158,2)&amp;"."&amp;RIGHT(K158,3),K158)),verfvoorraad!E:E,verfvoorraad!F:F),"Niet gevonden")))</f>
        <v/>
      </c>
      <c r="P158" t="str">
        <f>IF(K158="","",IFERROR(_xlfn.XLOOKUP(K158,verfvoorraad!C:C,verfvoorraad!G:G),IFERROR(_xlfn.XLOOKUP(IF(LEFT(UPPER(K158),4)="REV-","REV-"&amp;VALUE(MID(K158,5,99)),IF(LEN(K158)=5,LEFT(K158,2)&amp;"."&amp;RIGHT(K158,3),K158)),verfvoorraad!E:E,verfvoorraad!G:G),"Niet gevonden")))</f>
        <v/>
      </c>
      <c r="Q158" t="str">
        <f t="shared" si="4"/>
        <v/>
      </c>
      <c r="R158" t="str">
        <f t="shared" si="5"/>
        <v/>
      </c>
    </row>
    <row r="159" spans="6:18" x14ac:dyDescent="0.25">
      <c r="F159"/>
      <c r="G159" s="20"/>
      <c r="H159" s="21"/>
      <c r="K159" s="23"/>
      <c r="L159" t="str">
        <f>IF(K159="","",IFERROR(_xlfn.XLOOKUP(K159,verfvoorraad!C:C,verfvoorraad!B:B),IFERROR(_xlfn.XLOOKUP(IF(LEFT(UPPER(K159),4)="REV-","REV-"&amp;VALUE(MID(K159,5,99)),IF(LEN(K159)=5,LEFT(K159,2)&amp;"."&amp;RIGHT(K159,3),K159)),verfvoorraad!E:E,verfvoorraad!B:B),"Niet gevonden")))</f>
        <v/>
      </c>
      <c r="M159" t="str">
        <f>IF(K159="","",IFERROR(_xlfn.XLOOKUP(K159,verfvoorraad!C:C,verfvoorraad!D:D),IFERROR(_xlfn.XLOOKUP(IF(LEFT(UPPER(K159),4)="REV-","REV-"&amp;VALUE(MID(K159,5,99)),IF(LEN(K159)=5,LEFT(K159,2)&amp;"."&amp;RIGHT(K159,3),K159)),verfvoorraad!E:E,verfvoorraad!D:D),"Niet gevonden")))</f>
        <v/>
      </c>
      <c r="N159" t="str">
        <f>IF(K159="","",IFERROR(_xlfn.XLOOKUP(K159,verfvoorraad!C:C,verfvoorraad!E:E),IFERROR(_xlfn.XLOOKUP(IF(LEFT(UPPER(K159),4)="REV-","REV-"&amp;VALUE(MID(K159,5,99)),IF(LEN(K159)=5,LEFT(K159,2)&amp;"."&amp;RIGHT(K159,3),K159)),verfvoorraad!E:E,verfvoorraad!E:E),"Niet gevonden")))</f>
        <v/>
      </c>
      <c r="O159" t="str">
        <f>IF(K159="","",IFERROR(_xlfn.XLOOKUP(K159,verfvoorraad!C:C,verfvoorraad!F:F),IFERROR(_xlfn.XLOOKUP(IF(LEFT(UPPER(K159),4)="REV-","REV-"&amp;VALUE(MID(K159,5,99)),IF(LEN(K159)=5,LEFT(K159,2)&amp;"."&amp;RIGHT(K159,3),K159)),verfvoorraad!E:E,verfvoorraad!F:F),"Niet gevonden")))</f>
        <v/>
      </c>
      <c r="P159" t="str">
        <f>IF(K159="","",IFERROR(_xlfn.XLOOKUP(K159,verfvoorraad!C:C,verfvoorraad!G:G),IFERROR(_xlfn.XLOOKUP(IF(LEFT(UPPER(K159),4)="REV-","REV-"&amp;VALUE(MID(K159,5,99)),IF(LEN(K159)=5,LEFT(K159,2)&amp;"."&amp;RIGHT(K159,3),K159)),verfvoorraad!E:E,verfvoorraad!G:G),"Niet gevonden")))</f>
        <v/>
      </c>
      <c r="Q159" t="str">
        <f t="shared" si="4"/>
        <v/>
      </c>
      <c r="R159" t="str">
        <f t="shared" si="5"/>
        <v/>
      </c>
    </row>
    <row r="160" spans="6:18" x14ac:dyDescent="0.25">
      <c r="F160"/>
      <c r="G160" s="20"/>
      <c r="H160" s="21"/>
      <c r="K160" s="23"/>
      <c r="L160" t="str">
        <f>IF(K160="","",IFERROR(_xlfn.XLOOKUP(K160,verfvoorraad!C:C,verfvoorraad!B:B),IFERROR(_xlfn.XLOOKUP(IF(LEFT(UPPER(K160),4)="REV-","REV-"&amp;VALUE(MID(K160,5,99)),IF(LEN(K160)=5,LEFT(K160,2)&amp;"."&amp;RIGHT(K160,3),K160)),verfvoorraad!E:E,verfvoorraad!B:B),"Niet gevonden")))</f>
        <v/>
      </c>
      <c r="M160" t="str">
        <f>IF(K160="","",IFERROR(_xlfn.XLOOKUP(K160,verfvoorraad!C:C,verfvoorraad!D:D),IFERROR(_xlfn.XLOOKUP(IF(LEFT(UPPER(K160),4)="REV-","REV-"&amp;VALUE(MID(K160,5,99)),IF(LEN(K160)=5,LEFT(K160,2)&amp;"."&amp;RIGHT(K160,3),K160)),verfvoorraad!E:E,verfvoorraad!D:D),"Niet gevonden")))</f>
        <v/>
      </c>
      <c r="N160" t="str">
        <f>IF(K160="","",IFERROR(_xlfn.XLOOKUP(K160,verfvoorraad!C:C,verfvoorraad!E:E),IFERROR(_xlfn.XLOOKUP(IF(LEFT(UPPER(K160),4)="REV-","REV-"&amp;VALUE(MID(K160,5,99)),IF(LEN(K160)=5,LEFT(K160,2)&amp;"."&amp;RIGHT(K160,3),K160)),verfvoorraad!E:E,verfvoorraad!E:E),"Niet gevonden")))</f>
        <v/>
      </c>
      <c r="O160" t="str">
        <f>IF(K160="","",IFERROR(_xlfn.XLOOKUP(K160,verfvoorraad!C:C,verfvoorraad!F:F),IFERROR(_xlfn.XLOOKUP(IF(LEFT(UPPER(K160),4)="REV-","REV-"&amp;VALUE(MID(K160,5,99)),IF(LEN(K160)=5,LEFT(K160,2)&amp;"."&amp;RIGHT(K160,3),K160)),verfvoorraad!E:E,verfvoorraad!F:F),"Niet gevonden")))</f>
        <v/>
      </c>
      <c r="P160" t="str">
        <f>IF(K160="","",IFERROR(_xlfn.XLOOKUP(K160,verfvoorraad!C:C,verfvoorraad!G:G),IFERROR(_xlfn.XLOOKUP(IF(LEFT(UPPER(K160),4)="REV-","REV-"&amp;VALUE(MID(K160,5,99)),IF(LEN(K160)=5,LEFT(K160,2)&amp;"."&amp;RIGHT(K160,3),K160)),verfvoorraad!E:E,verfvoorraad!G:G),"Niet gevonden")))</f>
        <v/>
      </c>
      <c r="Q160" t="str">
        <f t="shared" si="4"/>
        <v/>
      </c>
      <c r="R160" t="str">
        <f t="shared" si="5"/>
        <v/>
      </c>
    </row>
    <row r="161" spans="6:18" x14ac:dyDescent="0.25">
      <c r="F161"/>
      <c r="G161" s="20"/>
      <c r="H161" s="21"/>
      <c r="K161" s="23"/>
      <c r="L161" t="str">
        <f>IF(K161="","",IFERROR(_xlfn.XLOOKUP(K161,verfvoorraad!C:C,verfvoorraad!B:B),IFERROR(_xlfn.XLOOKUP(IF(LEFT(UPPER(K161),4)="REV-","REV-"&amp;VALUE(MID(K161,5,99)),IF(LEN(K161)=5,LEFT(K161,2)&amp;"."&amp;RIGHT(K161,3),K161)),verfvoorraad!E:E,verfvoorraad!B:B),"Niet gevonden")))</f>
        <v/>
      </c>
      <c r="M161" t="str">
        <f>IF(K161="","",IFERROR(_xlfn.XLOOKUP(K161,verfvoorraad!C:C,verfvoorraad!D:D),IFERROR(_xlfn.XLOOKUP(IF(LEFT(UPPER(K161),4)="REV-","REV-"&amp;VALUE(MID(K161,5,99)),IF(LEN(K161)=5,LEFT(K161,2)&amp;"."&amp;RIGHT(K161,3),K161)),verfvoorraad!E:E,verfvoorraad!D:D),"Niet gevonden")))</f>
        <v/>
      </c>
      <c r="N161" t="str">
        <f>IF(K161="","",IFERROR(_xlfn.XLOOKUP(K161,verfvoorraad!C:C,verfvoorraad!E:E),IFERROR(_xlfn.XLOOKUP(IF(LEFT(UPPER(K161),4)="REV-","REV-"&amp;VALUE(MID(K161,5,99)),IF(LEN(K161)=5,LEFT(K161,2)&amp;"."&amp;RIGHT(K161,3),K161)),verfvoorraad!E:E,verfvoorraad!E:E),"Niet gevonden")))</f>
        <v/>
      </c>
      <c r="O161" t="str">
        <f>IF(K161="","",IFERROR(_xlfn.XLOOKUP(K161,verfvoorraad!C:C,verfvoorraad!F:F),IFERROR(_xlfn.XLOOKUP(IF(LEFT(UPPER(K161),4)="REV-","REV-"&amp;VALUE(MID(K161,5,99)),IF(LEN(K161)=5,LEFT(K161,2)&amp;"."&amp;RIGHT(K161,3),K161)),verfvoorraad!E:E,verfvoorraad!F:F),"Niet gevonden")))</f>
        <v/>
      </c>
      <c r="P161" t="str">
        <f>IF(K161="","",IFERROR(_xlfn.XLOOKUP(K161,verfvoorraad!C:C,verfvoorraad!G:G),IFERROR(_xlfn.XLOOKUP(IF(LEFT(UPPER(K161),4)="REV-","REV-"&amp;VALUE(MID(K161,5,99)),IF(LEN(K161)=5,LEFT(K161,2)&amp;"."&amp;RIGHT(K161,3),K161)),verfvoorraad!E:E,verfvoorraad!G:G),"Niet gevonden")))</f>
        <v/>
      </c>
      <c r="Q161" t="str">
        <f t="shared" si="4"/>
        <v/>
      </c>
      <c r="R161" t="str">
        <f t="shared" si="5"/>
        <v/>
      </c>
    </row>
    <row r="162" spans="6:18" x14ac:dyDescent="0.25">
      <c r="F162"/>
      <c r="G162" s="20"/>
      <c r="H162" s="21"/>
      <c r="K162" s="23"/>
      <c r="L162" t="str">
        <f>IF(K162="","",IFERROR(_xlfn.XLOOKUP(K162,verfvoorraad!C:C,verfvoorraad!B:B),IFERROR(_xlfn.XLOOKUP(IF(LEFT(UPPER(K162),4)="REV-","REV-"&amp;VALUE(MID(K162,5,99)),IF(LEN(K162)=5,LEFT(K162,2)&amp;"."&amp;RIGHT(K162,3),K162)),verfvoorraad!E:E,verfvoorraad!B:B),"Niet gevonden")))</f>
        <v/>
      </c>
      <c r="M162" t="str">
        <f>IF(K162="","",IFERROR(_xlfn.XLOOKUP(K162,verfvoorraad!C:C,verfvoorraad!D:D),IFERROR(_xlfn.XLOOKUP(IF(LEFT(UPPER(K162),4)="REV-","REV-"&amp;VALUE(MID(K162,5,99)),IF(LEN(K162)=5,LEFT(K162,2)&amp;"."&amp;RIGHT(K162,3),K162)),verfvoorraad!E:E,verfvoorraad!D:D),"Niet gevonden")))</f>
        <v/>
      </c>
      <c r="N162" t="str">
        <f>IF(K162="","",IFERROR(_xlfn.XLOOKUP(K162,verfvoorraad!C:C,verfvoorraad!E:E),IFERROR(_xlfn.XLOOKUP(IF(LEFT(UPPER(K162),4)="REV-","REV-"&amp;VALUE(MID(K162,5,99)),IF(LEN(K162)=5,LEFT(K162,2)&amp;"."&amp;RIGHT(K162,3),K162)),verfvoorraad!E:E,verfvoorraad!E:E),"Niet gevonden")))</f>
        <v/>
      </c>
      <c r="O162" t="str">
        <f>IF(K162="","",IFERROR(_xlfn.XLOOKUP(K162,verfvoorraad!C:C,verfvoorraad!F:F),IFERROR(_xlfn.XLOOKUP(IF(LEFT(UPPER(K162),4)="REV-","REV-"&amp;VALUE(MID(K162,5,99)),IF(LEN(K162)=5,LEFT(K162,2)&amp;"."&amp;RIGHT(K162,3),K162)),verfvoorraad!E:E,verfvoorraad!F:F),"Niet gevonden")))</f>
        <v/>
      </c>
      <c r="P162" t="str">
        <f>IF(K162="","",IFERROR(_xlfn.XLOOKUP(K162,verfvoorraad!C:C,verfvoorraad!G:G),IFERROR(_xlfn.XLOOKUP(IF(LEFT(UPPER(K162),4)="REV-","REV-"&amp;VALUE(MID(K162,5,99)),IF(LEN(K162)=5,LEFT(K162,2)&amp;"."&amp;RIGHT(K162,3),K162)),verfvoorraad!E:E,verfvoorraad!G:G),"Niet gevonden")))</f>
        <v/>
      </c>
      <c r="Q162" t="str">
        <f t="shared" si="4"/>
        <v/>
      </c>
      <c r="R162" t="str">
        <f t="shared" si="5"/>
        <v/>
      </c>
    </row>
    <row r="163" spans="6:18" x14ac:dyDescent="0.25">
      <c r="F163"/>
      <c r="G163" s="20"/>
      <c r="H163" s="21"/>
      <c r="K163" s="23"/>
      <c r="L163" t="str">
        <f>IF(K163="","",IFERROR(_xlfn.XLOOKUP(K163,verfvoorraad!C:C,verfvoorraad!B:B),IFERROR(_xlfn.XLOOKUP(IF(LEFT(UPPER(K163),4)="REV-","REV-"&amp;VALUE(MID(K163,5,99)),IF(LEN(K163)=5,LEFT(K163,2)&amp;"."&amp;RIGHT(K163,3),K163)),verfvoorraad!E:E,verfvoorraad!B:B),"Niet gevonden")))</f>
        <v/>
      </c>
      <c r="M163" t="str">
        <f>IF(K163="","",IFERROR(_xlfn.XLOOKUP(K163,verfvoorraad!C:C,verfvoorraad!D:D),IFERROR(_xlfn.XLOOKUP(IF(LEFT(UPPER(K163),4)="REV-","REV-"&amp;VALUE(MID(K163,5,99)),IF(LEN(K163)=5,LEFT(K163,2)&amp;"."&amp;RIGHT(K163,3),K163)),verfvoorraad!E:E,verfvoorraad!D:D),"Niet gevonden")))</f>
        <v/>
      </c>
      <c r="N163" t="str">
        <f>IF(K163="","",IFERROR(_xlfn.XLOOKUP(K163,verfvoorraad!C:C,verfvoorraad!E:E),IFERROR(_xlfn.XLOOKUP(IF(LEFT(UPPER(K163),4)="REV-","REV-"&amp;VALUE(MID(K163,5,99)),IF(LEN(K163)=5,LEFT(K163,2)&amp;"."&amp;RIGHT(K163,3),K163)),verfvoorraad!E:E,verfvoorraad!E:E),"Niet gevonden")))</f>
        <v/>
      </c>
      <c r="O163" t="str">
        <f>IF(K163="","",IFERROR(_xlfn.XLOOKUP(K163,verfvoorraad!C:C,verfvoorraad!F:F),IFERROR(_xlfn.XLOOKUP(IF(LEFT(UPPER(K163),4)="REV-","REV-"&amp;VALUE(MID(K163,5,99)),IF(LEN(K163)=5,LEFT(K163,2)&amp;"."&amp;RIGHT(K163,3),K163)),verfvoorraad!E:E,verfvoorraad!F:F),"Niet gevonden")))</f>
        <v/>
      </c>
      <c r="P163" t="str">
        <f>IF(K163="","",IFERROR(_xlfn.XLOOKUP(K163,verfvoorraad!C:C,verfvoorraad!G:G),IFERROR(_xlfn.XLOOKUP(IF(LEFT(UPPER(K163),4)="REV-","REV-"&amp;VALUE(MID(K163,5,99)),IF(LEN(K163)=5,LEFT(K163,2)&amp;"."&amp;RIGHT(K163,3),K163)),verfvoorraad!E:E,verfvoorraad!G:G),"Niet gevonden")))</f>
        <v/>
      </c>
      <c r="Q163" t="str">
        <f t="shared" si="4"/>
        <v/>
      </c>
      <c r="R163" t="str">
        <f t="shared" si="5"/>
        <v/>
      </c>
    </row>
    <row r="164" spans="6:18" x14ac:dyDescent="0.25">
      <c r="F164"/>
      <c r="G164" s="20"/>
      <c r="H164" s="21"/>
      <c r="K164" s="23"/>
      <c r="L164" t="str">
        <f>IF(K164="","",IFERROR(_xlfn.XLOOKUP(K164,verfvoorraad!C:C,verfvoorraad!B:B),IFERROR(_xlfn.XLOOKUP(IF(LEFT(UPPER(K164),4)="REV-","REV-"&amp;VALUE(MID(K164,5,99)),IF(LEN(K164)=5,LEFT(K164,2)&amp;"."&amp;RIGHT(K164,3),K164)),verfvoorraad!E:E,verfvoorraad!B:B),"Niet gevonden")))</f>
        <v/>
      </c>
      <c r="M164" t="str">
        <f>IF(K164="","",IFERROR(_xlfn.XLOOKUP(K164,verfvoorraad!C:C,verfvoorraad!D:D),IFERROR(_xlfn.XLOOKUP(IF(LEFT(UPPER(K164),4)="REV-","REV-"&amp;VALUE(MID(K164,5,99)),IF(LEN(K164)=5,LEFT(K164,2)&amp;"."&amp;RIGHT(K164,3),K164)),verfvoorraad!E:E,verfvoorraad!D:D),"Niet gevonden")))</f>
        <v/>
      </c>
      <c r="N164" t="str">
        <f>IF(K164="","",IFERROR(_xlfn.XLOOKUP(K164,verfvoorraad!C:C,verfvoorraad!E:E),IFERROR(_xlfn.XLOOKUP(IF(LEFT(UPPER(K164),4)="REV-","REV-"&amp;VALUE(MID(K164,5,99)),IF(LEN(K164)=5,LEFT(K164,2)&amp;"."&amp;RIGHT(K164,3),K164)),verfvoorraad!E:E,verfvoorraad!E:E),"Niet gevonden")))</f>
        <v/>
      </c>
      <c r="O164" t="str">
        <f>IF(K164="","",IFERROR(_xlfn.XLOOKUP(K164,verfvoorraad!C:C,verfvoorraad!F:F),IFERROR(_xlfn.XLOOKUP(IF(LEFT(UPPER(K164),4)="REV-","REV-"&amp;VALUE(MID(K164,5,99)),IF(LEN(K164)=5,LEFT(K164,2)&amp;"."&amp;RIGHT(K164,3),K164)),verfvoorraad!E:E,verfvoorraad!F:F),"Niet gevonden")))</f>
        <v/>
      </c>
      <c r="P164" t="str">
        <f>IF(K164="","",IFERROR(_xlfn.XLOOKUP(K164,verfvoorraad!C:C,verfvoorraad!G:G),IFERROR(_xlfn.XLOOKUP(IF(LEFT(UPPER(K164),4)="REV-","REV-"&amp;VALUE(MID(K164,5,99)),IF(LEN(K164)=5,LEFT(K164,2)&amp;"."&amp;RIGHT(K164,3),K164)),verfvoorraad!E:E,verfvoorraad!G:G),"Niet gevonden")))</f>
        <v/>
      </c>
      <c r="Q164" t="str">
        <f t="shared" si="4"/>
        <v/>
      </c>
      <c r="R164" t="str">
        <f t="shared" si="5"/>
        <v/>
      </c>
    </row>
    <row r="165" spans="6:18" x14ac:dyDescent="0.25">
      <c r="F165"/>
      <c r="G165" s="20"/>
      <c r="H165" s="21"/>
      <c r="K165" s="23"/>
      <c r="L165" t="str">
        <f>IF(K165="","",IFERROR(_xlfn.XLOOKUP(K165,verfvoorraad!C:C,verfvoorraad!B:B),IFERROR(_xlfn.XLOOKUP(IF(LEFT(UPPER(K165),4)="REV-","REV-"&amp;VALUE(MID(K165,5,99)),IF(LEN(K165)=5,LEFT(K165,2)&amp;"."&amp;RIGHT(K165,3),K165)),verfvoorraad!E:E,verfvoorraad!B:B),"Niet gevonden")))</f>
        <v/>
      </c>
      <c r="M165" t="str">
        <f>IF(K165="","",IFERROR(_xlfn.XLOOKUP(K165,verfvoorraad!C:C,verfvoorraad!D:D),IFERROR(_xlfn.XLOOKUP(IF(LEFT(UPPER(K165),4)="REV-","REV-"&amp;VALUE(MID(K165,5,99)),IF(LEN(K165)=5,LEFT(K165,2)&amp;"."&amp;RIGHT(K165,3),K165)),verfvoorraad!E:E,verfvoorraad!D:D),"Niet gevonden")))</f>
        <v/>
      </c>
      <c r="N165" t="str">
        <f>IF(K165="","",IFERROR(_xlfn.XLOOKUP(K165,verfvoorraad!C:C,verfvoorraad!E:E),IFERROR(_xlfn.XLOOKUP(IF(LEFT(UPPER(K165),4)="REV-","REV-"&amp;VALUE(MID(K165,5,99)),IF(LEN(K165)=5,LEFT(K165,2)&amp;"."&amp;RIGHT(K165,3),K165)),verfvoorraad!E:E,verfvoorraad!E:E),"Niet gevonden")))</f>
        <v/>
      </c>
      <c r="O165" t="str">
        <f>IF(K165="","",IFERROR(_xlfn.XLOOKUP(K165,verfvoorraad!C:C,verfvoorraad!F:F),IFERROR(_xlfn.XLOOKUP(IF(LEFT(UPPER(K165),4)="REV-","REV-"&amp;VALUE(MID(K165,5,99)),IF(LEN(K165)=5,LEFT(K165,2)&amp;"."&amp;RIGHT(K165,3),K165)),verfvoorraad!E:E,verfvoorraad!F:F),"Niet gevonden")))</f>
        <v/>
      </c>
      <c r="P165" t="str">
        <f>IF(K165="","",IFERROR(_xlfn.XLOOKUP(K165,verfvoorraad!C:C,verfvoorraad!G:G),IFERROR(_xlfn.XLOOKUP(IF(LEFT(UPPER(K165),4)="REV-","REV-"&amp;VALUE(MID(K165,5,99)),IF(LEN(K165)=5,LEFT(K165,2)&amp;"."&amp;RIGHT(K165,3),K165)),verfvoorraad!E:E,verfvoorraad!G:G),"Niet gevonden")))</f>
        <v/>
      </c>
      <c r="Q165" t="str">
        <f t="shared" si="4"/>
        <v/>
      </c>
      <c r="R165" t="str">
        <f t="shared" si="5"/>
        <v/>
      </c>
    </row>
    <row r="166" spans="6:18" x14ac:dyDescent="0.25">
      <c r="F166"/>
      <c r="G166" s="20"/>
      <c r="H166" s="21"/>
      <c r="K166" s="23"/>
      <c r="L166" t="str">
        <f>IF(K166="","",IFERROR(_xlfn.XLOOKUP(K166,verfvoorraad!C:C,verfvoorraad!B:B),IFERROR(_xlfn.XLOOKUP(IF(LEFT(UPPER(K166),4)="REV-","REV-"&amp;VALUE(MID(K166,5,99)),IF(LEN(K166)=5,LEFT(K166,2)&amp;"."&amp;RIGHT(K166,3),K166)),verfvoorraad!E:E,verfvoorraad!B:B),"Niet gevonden")))</f>
        <v/>
      </c>
      <c r="M166" t="str">
        <f>IF(K166="","",IFERROR(_xlfn.XLOOKUP(K166,verfvoorraad!C:C,verfvoorraad!D:D),IFERROR(_xlfn.XLOOKUP(IF(LEFT(UPPER(K166),4)="REV-","REV-"&amp;VALUE(MID(K166,5,99)),IF(LEN(K166)=5,LEFT(K166,2)&amp;"."&amp;RIGHT(K166,3),K166)),verfvoorraad!E:E,verfvoorraad!D:D),"Niet gevonden")))</f>
        <v/>
      </c>
      <c r="N166" t="str">
        <f>IF(K166="","",IFERROR(_xlfn.XLOOKUP(K166,verfvoorraad!C:C,verfvoorraad!E:E),IFERROR(_xlfn.XLOOKUP(IF(LEFT(UPPER(K166),4)="REV-","REV-"&amp;VALUE(MID(K166,5,99)),IF(LEN(K166)=5,LEFT(K166,2)&amp;"."&amp;RIGHT(K166,3),K166)),verfvoorraad!E:E,verfvoorraad!E:E),"Niet gevonden")))</f>
        <v/>
      </c>
      <c r="O166" t="str">
        <f>IF(K166="","",IFERROR(_xlfn.XLOOKUP(K166,verfvoorraad!C:C,verfvoorraad!F:F),IFERROR(_xlfn.XLOOKUP(IF(LEFT(UPPER(K166),4)="REV-","REV-"&amp;VALUE(MID(K166,5,99)),IF(LEN(K166)=5,LEFT(K166,2)&amp;"."&amp;RIGHT(K166,3),K166)),verfvoorraad!E:E,verfvoorraad!F:F),"Niet gevonden")))</f>
        <v/>
      </c>
      <c r="P166" t="str">
        <f>IF(K166="","",IFERROR(_xlfn.XLOOKUP(K166,verfvoorraad!C:C,verfvoorraad!G:G),IFERROR(_xlfn.XLOOKUP(IF(LEFT(UPPER(K166),4)="REV-","REV-"&amp;VALUE(MID(K166,5,99)),IF(LEN(K166)=5,LEFT(K166,2)&amp;"."&amp;RIGHT(K166,3),K166)),verfvoorraad!E:E,verfvoorraad!G:G),"Niet gevonden")))</f>
        <v/>
      </c>
      <c r="Q166" t="str">
        <f t="shared" si="4"/>
        <v/>
      </c>
      <c r="R166" t="str">
        <f t="shared" si="5"/>
        <v/>
      </c>
    </row>
    <row r="167" spans="6:18" x14ac:dyDescent="0.25">
      <c r="F167"/>
      <c r="G167" s="20"/>
      <c r="H167" s="21"/>
      <c r="K167" s="23"/>
      <c r="L167" t="str">
        <f>IF(K167="","",IFERROR(_xlfn.XLOOKUP(K167,verfvoorraad!C:C,verfvoorraad!B:B),IFERROR(_xlfn.XLOOKUP(IF(LEFT(UPPER(K167),4)="REV-","REV-"&amp;VALUE(MID(K167,5,99)),IF(LEN(K167)=5,LEFT(K167,2)&amp;"."&amp;RIGHT(K167,3),K167)),verfvoorraad!E:E,verfvoorraad!B:B),"Niet gevonden")))</f>
        <v/>
      </c>
      <c r="M167" t="str">
        <f>IF(K167="","",IFERROR(_xlfn.XLOOKUP(K167,verfvoorraad!C:C,verfvoorraad!D:D),IFERROR(_xlfn.XLOOKUP(IF(LEFT(UPPER(K167),4)="REV-","REV-"&amp;VALUE(MID(K167,5,99)),IF(LEN(K167)=5,LEFT(K167,2)&amp;"."&amp;RIGHT(K167,3),K167)),verfvoorraad!E:E,verfvoorraad!D:D),"Niet gevonden")))</f>
        <v/>
      </c>
      <c r="N167" t="str">
        <f>IF(K167="","",IFERROR(_xlfn.XLOOKUP(K167,verfvoorraad!C:C,verfvoorraad!E:E),IFERROR(_xlfn.XLOOKUP(IF(LEFT(UPPER(K167),4)="REV-","REV-"&amp;VALUE(MID(K167,5,99)),IF(LEN(K167)=5,LEFT(K167,2)&amp;"."&amp;RIGHT(K167,3),K167)),verfvoorraad!E:E,verfvoorraad!E:E),"Niet gevonden")))</f>
        <v/>
      </c>
      <c r="O167" t="str">
        <f>IF(K167="","",IFERROR(_xlfn.XLOOKUP(K167,verfvoorraad!C:C,verfvoorraad!F:F),IFERROR(_xlfn.XLOOKUP(IF(LEFT(UPPER(K167),4)="REV-","REV-"&amp;VALUE(MID(K167,5,99)),IF(LEN(K167)=5,LEFT(K167,2)&amp;"."&amp;RIGHT(K167,3),K167)),verfvoorraad!E:E,verfvoorraad!F:F),"Niet gevonden")))</f>
        <v/>
      </c>
      <c r="P167" t="str">
        <f>IF(K167="","",IFERROR(_xlfn.XLOOKUP(K167,verfvoorraad!C:C,verfvoorraad!G:G),IFERROR(_xlfn.XLOOKUP(IF(LEFT(UPPER(K167),4)="REV-","REV-"&amp;VALUE(MID(K167,5,99)),IF(LEN(K167)=5,LEFT(K167,2)&amp;"."&amp;RIGHT(K167,3),K167)),verfvoorraad!E:E,verfvoorraad!G:G),"Niet gevonden")))</f>
        <v/>
      </c>
      <c r="Q167" t="str">
        <f t="shared" si="4"/>
        <v/>
      </c>
      <c r="R167" t="str">
        <f t="shared" si="5"/>
        <v/>
      </c>
    </row>
    <row r="168" spans="6:18" x14ac:dyDescent="0.25">
      <c r="F168"/>
      <c r="G168" s="20"/>
      <c r="H168" s="21"/>
      <c r="K168" s="23"/>
      <c r="L168" t="str">
        <f>IF(K168="","",IFERROR(_xlfn.XLOOKUP(K168,verfvoorraad!C:C,verfvoorraad!B:B),IFERROR(_xlfn.XLOOKUP(IF(LEFT(UPPER(K168),4)="REV-","REV-"&amp;VALUE(MID(K168,5,99)),IF(LEN(K168)=5,LEFT(K168,2)&amp;"."&amp;RIGHT(K168,3),K168)),verfvoorraad!E:E,verfvoorraad!B:B),"Niet gevonden")))</f>
        <v/>
      </c>
      <c r="M168" t="str">
        <f>IF(K168="","",IFERROR(_xlfn.XLOOKUP(K168,verfvoorraad!C:C,verfvoorraad!D:D),IFERROR(_xlfn.XLOOKUP(IF(LEFT(UPPER(K168),4)="REV-","REV-"&amp;VALUE(MID(K168,5,99)),IF(LEN(K168)=5,LEFT(K168,2)&amp;"."&amp;RIGHT(K168,3),K168)),verfvoorraad!E:E,verfvoorraad!D:D),"Niet gevonden")))</f>
        <v/>
      </c>
      <c r="N168" t="str">
        <f>IF(K168="","",IFERROR(_xlfn.XLOOKUP(K168,verfvoorraad!C:C,verfvoorraad!E:E),IFERROR(_xlfn.XLOOKUP(IF(LEFT(UPPER(K168),4)="REV-","REV-"&amp;VALUE(MID(K168,5,99)),IF(LEN(K168)=5,LEFT(K168,2)&amp;"."&amp;RIGHT(K168,3),K168)),verfvoorraad!E:E,verfvoorraad!E:E),"Niet gevonden")))</f>
        <v/>
      </c>
      <c r="O168" t="str">
        <f>IF(K168="","",IFERROR(_xlfn.XLOOKUP(K168,verfvoorraad!C:C,verfvoorraad!F:F),IFERROR(_xlfn.XLOOKUP(IF(LEFT(UPPER(K168),4)="REV-","REV-"&amp;VALUE(MID(K168,5,99)),IF(LEN(K168)=5,LEFT(K168,2)&amp;"."&amp;RIGHT(K168,3),K168)),verfvoorraad!E:E,verfvoorraad!F:F),"Niet gevonden")))</f>
        <v/>
      </c>
      <c r="P168" t="str">
        <f>IF(K168="","",IFERROR(_xlfn.XLOOKUP(K168,verfvoorraad!C:C,verfvoorraad!G:G),IFERROR(_xlfn.XLOOKUP(IF(LEFT(UPPER(K168),4)="REV-","REV-"&amp;VALUE(MID(K168,5,99)),IF(LEN(K168)=5,LEFT(K168,2)&amp;"."&amp;RIGHT(K168,3),K168)),verfvoorraad!E:E,verfvoorraad!G:G),"Niet gevonden")))</f>
        <v/>
      </c>
      <c r="Q168" t="str">
        <f t="shared" si="4"/>
        <v/>
      </c>
      <c r="R168" t="str">
        <f t="shared" si="5"/>
        <v/>
      </c>
    </row>
    <row r="169" spans="6:18" x14ac:dyDescent="0.25">
      <c r="F169"/>
      <c r="G169" s="20"/>
      <c r="H169" s="21"/>
      <c r="K169" s="23"/>
      <c r="L169" t="str">
        <f>IF(K169="","",IFERROR(_xlfn.XLOOKUP(K169,verfvoorraad!C:C,verfvoorraad!B:B),IFERROR(_xlfn.XLOOKUP(IF(LEFT(UPPER(K169),4)="REV-","REV-"&amp;VALUE(MID(K169,5,99)),IF(LEN(K169)=5,LEFT(K169,2)&amp;"."&amp;RIGHT(K169,3),K169)),verfvoorraad!E:E,verfvoorraad!B:B),"Niet gevonden")))</f>
        <v/>
      </c>
      <c r="M169" t="str">
        <f>IF(K169="","",IFERROR(_xlfn.XLOOKUP(K169,verfvoorraad!C:C,verfvoorraad!D:D),IFERROR(_xlfn.XLOOKUP(IF(LEFT(UPPER(K169),4)="REV-","REV-"&amp;VALUE(MID(K169,5,99)),IF(LEN(K169)=5,LEFT(K169,2)&amp;"."&amp;RIGHT(K169,3),K169)),verfvoorraad!E:E,verfvoorraad!D:D),"Niet gevonden")))</f>
        <v/>
      </c>
      <c r="N169" t="str">
        <f>IF(K169="","",IFERROR(_xlfn.XLOOKUP(K169,verfvoorraad!C:C,verfvoorraad!E:E),IFERROR(_xlfn.XLOOKUP(IF(LEFT(UPPER(K169),4)="REV-","REV-"&amp;VALUE(MID(K169,5,99)),IF(LEN(K169)=5,LEFT(K169,2)&amp;"."&amp;RIGHT(K169,3),K169)),verfvoorraad!E:E,verfvoorraad!E:E),"Niet gevonden")))</f>
        <v/>
      </c>
      <c r="O169" t="str">
        <f>IF(K169="","",IFERROR(_xlfn.XLOOKUP(K169,verfvoorraad!C:C,verfvoorraad!F:F),IFERROR(_xlfn.XLOOKUP(IF(LEFT(UPPER(K169),4)="REV-","REV-"&amp;VALUE(MID(K169,5,99)),IF(LEN(K169)=5,LEFT(K169,2)&amp;"."&amp;RIGHT(K169,3),K169)),verfvoorraad!E:E,verfvoorraad!F:F),"Niet gevonden")))</f>
        <v/>
      </c>
      <c r="P169" t="str">
        <f>IF(K169="","",IFERROR(_xlfn.XLOOKUP(K169,verfvoorraad!C:C,verfvoorraad!G:G),IFERROR(_xlfn.XLOOKUP(IF(LEFT(UPPER(K169),4)="REV-","REV-"&amp;VALUE(MID(K169,5,99)),IF(LEN(K169)=5,LEFT(K169,2)&amp;"."&amp;RIGHT(K169,3),K169)),verfvoorraad!E:E,verfvoorraad!G:G),"Niet gevonden")))</f>
        <v/>
      </c>
      <c r="Q169" t="str">
        <f t="shared" si="4"/>
        <v/>
      </c>
      <c r="R169" t="str">
        <f t="shared" si="5"/>
        <v/>
      </c>
    </row>
    <row r="170" spans="6:18" x14ac:dyDescent="0.25">
      <c r="F170"/>
      <c r="G170" s="20"/>
      <c r="H170" s="21"/>
      <c r="K170" s="23"/>
      <c r="L170" t="str">
        <f>IF(K170="","",IFERROR(_xlfn.XLOOKUP(K170,verfvoorraad!C:C,verfvoorraad!B:B),IFERROR(_xlfn.XLOOKUP(IF(LEFT(UPPER(K170),4)="REV-","REV-"&amp;VALUE(MID(K170,5,99)),IF(LEN(K170)=5,LEFT(K170,2)&amp;"."&amp;RIGHT(K170,3),K170)),verfvoorraad!E:E,verfvoorraad!B:B),"Niet gevonden")))</f>
        <v/>
      </c>
      <c r="M170" t="str">
        <f>IF(K170="","",IFERROR(_xlfn.XLOOKUP(K170,verfvoorraad!C:C,verfvoorraad!D:D),IFERROR(_xlfn.XLOOKUP(IF(LEFT(UPPER(K170),4)="REV-","REV-"&amp;VALUE(MID(K170,5,99)),IF(LEN(K170)=5,LEFT(K170,2)&amp;"."&amp;RIGHT(K170,3),K170)),verfvoorraad!E:E,verfvoorraad!D:D),"Niet gevonden")))</f>
        <v/>
      </c>
      <c r="N170" t="str">
        <f>IF(K170="","",IFERROR(_xlfn.XLOOKUP(K170,verfvoorraad!C:C,verfvoorraad!E:E),IFERROR(_xlfn.XLOOKUP(IF(LEFT(UPPER(K170),4)="REV-","REV-"&amp;VALUE(MID(K170,5,99)),IF(LEN(K170)=5,LEFT(K170,2)&amp;"."&amp;RIGHT(K170,3),K170)),verfvoorraad!E:E,verfvoorraad!E:E),"Niet gevonden")))</f>
        <v/>
      </c>
      <c r="O170" t="str">
        <f>IF(K170="","",IFERROR(_xlfn.XLOOKUP(K170,verfvoorraad!C:C,verfvoorraad!F:F),IFERROR(_xlfn.XLOOKUP(IF(LEFT(UPPER(K170),4)="REV-","REV-"&amp;VALUE(MID(K170,5,99)),IF(LEN(K170)=5,LEFT(K170,2)&amp;"."&amp;RIGHT(K170,3),K170)),verfvoorraad!E:E,verfvoorraad!F:F),"Niet gevonden")))</f>
        <v/>
      </c>
      <c r="P170" t="str">
        <f>IF(K170="","",IFERROR(_xlfn.XLOOKUP(K170,verfvoorraad!C:C,verfvoorraad!G:G),IFERROR(_xlfn.XLOOKUP(IF(LEFT(UPPER(K170),4)="REV-","REV-"&amp;VALUE(MID(K170,5,99)),IF(LEN(K170)=5,LEFT(K170,2)&amp;"."&amp;RIGHT(K170,3),K170)),verfvoorraad!E:E,verfvoorraad!G:G),"Niet gevonden")))</f>
        <v/>
      </c>
      <c r="Q170" t="str">
        <f t="shared" si="4"/>
        <v/>
      </c>
      <c r="R170" t="str">
        <f t="shared" si="5"/>
        <v/>
      </c>
    </row>
    <row r="171" spans="6:18" x14ac:dyDescent="0.25">
      <c r="F171"/>
      <c r="G171" s="20"/>
      <c r="H171" s="21"/>
      <c r="K171" s="23"/>
      <c r="L171" t="str">
        <f>IF(K171="","",IFERROR(_xlfn.XLOOKUP(K171,verfvoorraad!C:C,verfvoorraad!B:B),IFERROR(_xlfn.XLOOKUP(IF(LEFT(UPPER(K171),4)="REV-","REV-"&amp;VALUE(MID(K171,5,99)),IF(LEN(K171)=5,LEFT(K171,2)&amp;"."&amp;RIGHT(K171,3),K171)),verfvoorraad!E:E,verfvoorraad!B:B),"Niet gevonden")))</f>
        <v/>
      </c>
      <c r="M171" t="str">
        <f>IF(K171="","",IFERROR(_xlfn.XLOOKUP(K171,verfvoorraad!C:C,verfvoorraad!D:D),IFERROR(_xlfn.XLOOKUP(IF(LEFT(UPPER(K171),4)="REV-","REV-"&amp;VALUE(MID(K171,5,99)),IF(LEN(K171)=5,LEFT(K171,2)&amp;"."&amp;RIGHT(K171,3),K171)),verfvoorraad!E:E,verfvoorraad!D:D),"Niet gevonden")))</f>
        <v/>
      </c>
      <c r="N171" t="str">
        <f>IF(K171="","",IFERROR(_xlfn.XLOOKUP(K171,verfvoorraad!C:C,verfvoorraad!E:E),IFERROR(_xlfn.XLOOKUP(IF(LEFT(UPPER(K171),4)="REV-","REV-"&amp;VALUE(MID(K171,5,99)),IF(LEN(K171)=5,LEFT(K171,2)&amp;"."&amp;RIGHT(K171,3),K171)),verfvoorraad!E:E,verfvoorraad!E:E),"Niet gevonden")))</f>
        <v/>
      </c>
      <c r="O171" t="str">
        <f>IF(K171="","",IFERROR(_xlfn.XLOOKUP(K171,verfvoorraad!C:C,verfvoorraad!F:F),IFERROR(_xlfn.XLOOKUP(IF(LEFT(UPPER(K171),4)="REV-","REV-"&amp;VALUE(MID(K171,5,99)),IF(LEN(K171)=5,LEFT(K171,2)&amp;"."&amp;RIGHT(K171,3),K171)),verfvoorraad!E:E,verfvoorraad!F:F),"Niet gevonden")))</f>
        <v/>
      </c>
      <c r="P171" t="str">
        <f>IF(K171="","",IFERROR(_xlfn.XLOOKUP(K171,verfvoorraad!C:C,verfvoorraad!G:G),IFERROR(_xlfn.XLOOKUP(IF(LEFT(UPPER(K171),4)="REV-","REV-"&amp;VALUE(MID(K171,5,99)),IF(LEN(K171)=5,LEFT(K171,2)&amp;"."&amp;RIGHT(K171,3),K171)),verfvoorraad!E:E,verfvoorraad!G:G),"Niet gevonden")))</f>
        <v/>
      </c>
      <c r="Q171" t="str">
        <f t="shared" si="4"/>
        <v/>
      </c>
      <c r="R171" t="str">
        <f t="shared" si="5"/>
        <v/>
      </c>
    </row>
    <row r="172" spans="6:18" x14ac:dyDescent="0.25">
      <c r="F172"/>
      <c r="G172" s="20"/>
      <c r="H172" s="21"/>
      <c r="K172" s="23"/>
      <c r="L172" t="str">
        <f>IF(K172="","",IFERROR(_xlfn.XLOOKUP(K172,verfvoorraad!C:C,verfvoorraad!B:B),IFERROR(_xlfn.XLOOKUP(IF(LEFT(UPPER(K172),4)="REV-","REV-"&amp;VALUE(MID(K172,5,99)),IF(LEN(K172)=5,LEFT(K172,2)&amp;"."&amp;RIGHT(K172,3),K172)),verfvoorraad!E:E,verfvoorraad!B:B),"Niet gevonden")))</f>
        <v/>
      </c>
      <c r="M172" t="str">
        <f>IF(K172="","",IFERROR(_xlfn.XLOOKUP(K172,verfvoorraad!C:C,verfvoorraad!D:D),IFERROR(_xlfn.XLOOKUP(IF(LEFT(UPPER(K172),4)="REV-","REV-"&amp;VALUE(MID(K172,5,99)),IF(LEN(K172)=5,LEFT(K172,2)&amp;"."&amp;RIGHT(K172,3),K172)),verfvoorraad!E:E,verfvoorraad!D:D),"Niet gevonden")))</f>
        <v/>
      </c>
      <c r="N172" t="str">
        <f>IF(K172="","",IFERROR(_xlfn.XLOOKUP(K172,verfvoorraad!C:C,verfvoorraad!E:E),IFERROR(_xlfn.XLOOKUP(IF(LEFT(UPPER(K172),4)="REV-","REV-"&amp;VALUE(MID(K172,5,99)),IF(LEN(K172)=5,LEFT(K172,2)&amp;"."&amp;RIGHT(K172,3),K172)),verfvoorraad!E:E,verfvoorraad!E:E),"Niet gevonden")))</f>
        <v/>
      </c>
      <c r="O172" t="str">
        <f>IF(K172="","",IFERROR(_xlfn.XLOOKUP(K172,verfvoorraad!C:C,verfvoorraad!F:F),IFERROR(_xlfn.XLOOKUP(IF(LEFT(UPPER(K172),4)="REV-","REV-"&amp;VALUE(MID(K172,5,99)),IF(LEN(K172)=5,LEFT(K172,2)&amp;"."&amp;RIGHT(K172,3),K172)),verfvoorraad!E:E,verfvoorraad!F:F),"Niet gevonden")))</f>
        <v/>
      </c>
      <c r="P172" t="str">
        <f>IF(K172="","",IFERROR(_xlfn.XLOOKUP(K172,verfvoorraad!C:C,verfvoorraad!G:G),IFERROR(_xlfn.XLOOKUP(IF(LEFT(UPPER(K172),4)="REV-","REV-"&amp;VALUE(MID(K172,5,99)),IF(LEN(K172)=5,LEFT(K172,2)&amp;"."&amp;RIGHT(K172,3),K172)),verfvoorraad!E:E,verfvoorraad!G:G),"Niet gevonden")))</f>
        <v/>
      </c>
      <c r="Q172" t="str">
        <f t="shared" si="4"/>
        <v/>
      </c>
      <c r="R172" t="str">
        <f t="shared" si="5"/>
        <v/>
      </c>
    </row>
    <row r="173" spans="6:18" x14ac:dyDescent="0.25">
      <c r="F173"/>
      <c r="G173" s="20"/>
      <c r="H173" s="21"/>
      <c r="K173" s="23"/>
      <c r="L173" t="str">
        <f>IF(K173="","",IFERROR(_xlfn.XLOOKUP(K173,verfvoorraad!C:C,verfvoorraad!B:B),IFERROR(_xlfn.XLOOKUP(IF(LEFT(UPPER(K173),4)="REV-","REV-"&amp;VALUE(MID(K173,5,99)),IF(LEN(K173)=5,LEFT(K173,2)&amp;"."&amp;RIGHT(K173,3),K173)),verfvoorraad!E:E,verfvoorraad!B:B),"Niet gevonden")))</f>
        <v/>
      </c>
      <c r="M173" t="str">
        <f>IF(K173="","",IFERROR(_xlfn.XLOOKUP(K173,verfvoorraad!C:C,verfvoorraad!D:D),IFERROR(_xlfn.XLOOKUP(IF(LEFT(UPPER(K173),4)="REV-","REV-"&amp;VALUE(MID(K173,5,99)),IF(LEN(K173)=5,LEFT(K173,2)&amp;"."&amp;RIGHT(K173,3),K173)),verfvoorraad!E:E,verfvoorraad!D:D),"Niet gevonden")))</f>
        <v/>
      </c>
      <c r="N173" t="str">
        <f>IF(K173="","",IFERROR(_xlfn.XLOOKUP(K173,verfvoorraad!C:C,verfvoorraad!E:E),IFERROR(_xlfn.XLOOKUP(IF(LEFT(UPPER(K173),4)="REV-","REV-"&amp;VALUE(MID(K173,5,99)),IF(LEN(K173)=5,LEFT(K173,2)&amp;"."&amp;RIGHT(K173,3),K173)),verfvoorraad!E:E,verfvoorraad!E:E),"Niet gevonden")))</f>
        <v/>
      </c>
      <c r="O173" t="str">
        <f>IF(K173="","",IFERROR(_xlfn.XLOOKUP(K173,verfvoorraad!C:C,verfvoorraad!F:F),IFERROR(_xlfn.XLOOKUP(IF(LEFT(UPPER(K173),4)="REV-","REV-"&amp;VALUE(MID(K173,5,99)),IF(LEN(K173)=5,LEFT(K173,2)&amp;"."&amp;RIGHT(K173,3),K173)),verfvoorraad!E:E,verfvoorraad!F:F),"Niet gevonden")))</f>
        <v/>
      </c>
      <c r="P173" t="str">
        <f>IF(K173="","",IFERROR(_xlfn.XLOOKUP(K173,verfvoorraad!C:C,verfvoorraad!G:G),IFERROR(_xlfn.XLOOKUP(IF(LEFT(UPPER(K173),4)="REV-","REV-"&amp;VALUE(MID(K173,5,99)),IF(LEN(K173)=5,LEFT(K173,2)&amp;"."&amp;RIGHT(K173,3),K173)),verfvoorraad!E:E,verfvoorraad!G:G),"Niet gevonden")))</f>
        <v/>
      </c>
      <c r="Q173" t="str">
        <f t="shared" si="4"/>
        <v/>
      </c>
      <c r="R173" t="str">
        <f t="shared" si="5"/>
        <v/>
      </c>
    </row>
    <row r="174" spans="6:18" x14ac:dyDescent="0.25">
      <c r="F174"/>
      <c r="G174" s="20"/>
      <c r="H174" s="21"/>
      <c r="K174" s="23"/>
      <c r="L174" t="str">
        <f>IF(K174="","",IFERROR(_xlfn.XLOOKUP(K174,verfvoorraad!C:C,verfvoorraad!B:B),IFERROR(_xlfn.XLOOKUP(IF(LEFT(UPPER(K174),4)="REV-","REV-"&amp;VALUE(MID(K174,5,99)),IF(LEN(K174)=5,LEFT(K174,2)&amp;"."&amp;RIGHT(K174,3),K174)),verfvoorraad!E:E,verfvoorraad!B:B),"Niet gevonden")))</f>
        <v/>
      </c>
      <c r="M174" t="str">
        <f>IF(K174="","",IFERROR(_xlfn.XLOOKUP(K174,verfvoorraad!C:C,verfvoorraad!D:D),IFERROR(_xlfn.XLOOKUP(IF(LEFT(UPPER(K174),4)="REV-","REV-"&amp;VALUE(MID(K174,5,99)),IF(LEN(K174)=5,LEFT(K174,2)&amp;"."&amp;RIGHT(K174,3),K174)),verfvoorraad!E:E,verfvoorraad!D:D),"Niet gevonden")))</f>
        <v/>
      </c>
      <c r="N174" t="str">
        <f>IF(K174="","",IFERROR(_xlfn.XLOOKUP(K174,verfvoorraad!C:C,verfvoorraad!E:E),IFERROR(_xlfn.XLOOKUP(IF(LEFT(UPPER(K174),4)="REV-","REV-"&amp;VALUE(MID(K174,5,99)),IF(LEN(K174)=5,LEFT(K174,2)&amp;"."&amp;RIGHT(K174,3),K174)),verfvoorraad!E:E,verfvoorraad!E:E),"Niet gevonden")))</f>
        <v/>
      </c>
      <c r="O174" t="str">
        <f>IF(K174="","",IFERROR(_xlfn.XLOOKUP(K174,verfvoorraad!C:C,verfvoorraad!F:F),IFERROR(_xlfn.XLOOKUP(IF(LEFT(UPPER(K174),4)="REV-","REV-"&amp;VALUE(MID(K174,5,99)),IF(LEN(K174)=5,LEFT(K174,2)&amp;"."&amp;RIGHT(K174,3),K174)),verfvoorraad!E:E,verfvoorraad!F:F),"Niet gevonden")))</f>
        <v/>
      </c>
      <c r="P174" t="str">
        <f>IF(K174="","",IFERROR(_xlfn.XLOOKUP(K174,verfvoorraad!C:C,verfvoorraad!G:G),IFERROR(_xlfn.XLOOKUP(IF(LEFT(UPPER(K174),4)="REV-","REV-"&amp;VALUE(MID(K174,5,99)),IF(LEN(K174)=5,LEFT(K174,2)&amp;"."&amp;RIGHT(K174,3),K174)),verfvoorraad!E:E,verfvoorraad!G:G),"Niet gevonden")))</f>
        <v/>
      </c>
      <c r="Q174" t="str">
        <f t="shared" si="4"/>
        <v/>
      </c>
      <c r="R174" t="str">
        <f t="shared" si="5"/>
        <v/>
      </c>
    </row>
    <row r="175" spans="6:18" x14ac:dyDescent="0.25">
      <c r="F175"/>
      <c r="G175" s="20"/>
      <c r="H175" s="21"/>
      <c r="K175" s="23"/>
      <c r="L175" t="str">
        <f>IF(K175="","",IFERROR(_xlfn.XLOOKUP(K175,verfvoorraad!C:C,verfvoorraad!B:B),IFERROR(_xlfn.XLOOKUP(IF(LEFT(UPPER(K175),4)="REV-","REV-"&amp;VALUE(MID(K175,5,99)),IF(LEN(K175)=5,LEFT(K175,2)&amp;"."&amp;RIGHT(K175,3),K175)),verfvoorraad!E:E,verfvoorraad!B:B),"Niet gevonden")))</f>
        <v/>
      </c>
      <c r="M175" t="str">
        <f>IF(K175="","",IFERROR(_xlfn.XLOOKUP(K175,verfvoorraad!C:C,verfvoorraad!D:D),IFERROR(_xlfn.XLOOKUP(IF(LEFT(UPPER(K175),4)="REV-","REV-"&amp;VALUE(MID(K175,5,99)),IF(LEN(K175)=5,LEFT(K175,2)&amp;"."&amp;RIGHT(K175,3),K175)),verfvoorraad!E:E,verfvoorraad!D:D),"Niet gevonden")))</f>
        <v/>
      </c>
      <c r="N175" t="str">
        <f>IF(K175="","",IFERROR(_xlfn.XLOOKUP(K175,verfvoorraad!C:C,verfvoorraad!E:E),IFERROR(_xlfn.XLOOKUP(IF(LEFT(UPPER(K175),4)="REV-","REV-"&amp;VALUE(MID(K175,5,99)),IF(LEN(K175)=5,LEFT(K175,2)&amp;"."&amp;RIGHT(K175,3),K175)),verfvoorraad!E:E,verfvoorraad!E:E),"Niet gevonden")))</f>
        <v/>
      </c>
      <c r="O175" t="str">
        <f>IF(K175="","",IFERROR(_xlfn.XLOOKUP(K175,verfvoorraad!C:C,verfvoorraad!F:F),IFERROR(_xlfn.XLOOKUP(IF(LEFT(UPPER(K175),4)="REV-","REV-"&amp;VALUE(MID(K175,5,99)),IF(LEN(K175)=5,LEFT(K175,2)&amp;"."&amp;RIGHT(K175,3),K175)),verfvoorraad!E:E,verfvoorraad!F:F),"Niet gevonden")))</f>
        <v/>
      </c>
      <c r="P175" t="str">
        <f>IF(K175="","",IFERROR(_xlfn.XLOOKUP(K175,verfvoorraad!C:C,verfvoorraad!G:G),IFERROR(_xlfn.XLOOKUP(IF(LEFT(UPPER(K175),4)="REV-","REV-"&amp;VALUE(MID(K175,5,99)),IF(LEN(K175)=5,LEFT(K175,2)&amp;"."&amp;RIGHT(K175,3),K175)),verfvoorraad!E:E,verfvoorraad!G:G),"Niet gevonden")))</f>
        <v/>
      </c>
      <c r="Q175" t="str">
        <f t="shared" si="4"/>
        <v/>
      </c>
      <c r="R175" t="str">
        <f t="shared" si="5"/>
        <v/>
      </c>
    </row>
    <row r="176" spans="6:18" x14ac:dyDescent="0.25">
      <c r="F176"/>
      <c r="G176" s="20"/>
      <c r="H176" s="21"/>
      <c r="K176" s="23"/>
      <c r="L176" t="str">
        <f>IF(K176="","",IFERROR(_xlfn.XLOOKUP(K176,verfvoorraad!C:C,verfvoorraad!B:B),IFERROR(_xlfn.XLOOKUP(IF(LEFT(UPPER(K176),4)="REV-","REV-"&amp;VALUE(MID(K176,5,99)),IF(LEN(K176)=5,LEFT(K176,2)&amp;"."&amp;RIGHT(K176,3),K176)),verfvoorraad!E:E,verfvoorraad!B:B),"Niet gevonden")))</f>
        <v/>
      </c>
      <c r="M176" t="str">
        <f>IF(K176="","",IFERROR(_xlfn.XLOOKUP(K176,verfvoorraad!C:C,verfvoorraad!D:D),IFERROR(_xlfn.XLOOKUP(IF(LEFT(UPPER(K176),4)="REV-","REV-"&amp;VALUE(MID(K176,5,99)),IF(LEN(K176)=5,LEFT(K176,2)&amp;"."&amp;RIGHT(K176,3),K176)),verfvoorraad!E:E,verfvoorraad!D:D),"Niet gevonden")))</f>
        <v/>
      </c>
      <c r="N176" t="str">
        <f>IF(K176="","",IFERROR(_xlfn.XLOOKUP(K176,verfvoorraad!C:C,verfvoorraad!E:E),IFERROR(_xlfn.XLOOKUP(IF(LEFT(UPPER(K176),4)="REV-","REV-"&amp;VALUE(MID(K176,5,99)),IF(LEN(K176)=5,LEFT(K176,2)&amp;"."&amp;RIGHT(K176,3),K176)),verfvoorraad!E:E,verfvoorraad!E:E),"Niet gevonden")))</f>
        <v/>
      </c>
      <c r="O176" t="str">
        <f>IF(K176="","",IFERROR(_xlfn.XLOOKUP(K176,verfvoorraad!C:C,verfvoorraad!F:F),IFERROR(_xlfn.XLOOKUP(IF(LEFT(UPPER(K176),4)="REV-","REV-"&amp;VALUE(MID(K176,5,99)),IF(LEN(K176)=5,LEFT(K176,2)&amp;"."&amp;RIGHT(K176,3),K176)),verfvoorraad!E:E,verfvoorraad!F:F),"Niet gevonden")))</f>
        <v/>
      </c>
      <c r="P176" t="str">
        <f>IF(K176="","",IFERROR(_xlfn.XLOOKUP(K176,verfvoorraad!C:C,verfvoorraad!G:G),IFERROR(_xlfn.XLOOKUP(IF(LEFT(UPPER(K176),4)="REV-","REV-"&amp;VALUE(MID(K176,5,99)),IF(LEN(K176)=5,LEFT(K176,2)&amp;"."&amp;RIGHT(K176,3),K176)),verfvoorraad!E:E,verfvoorraad!G:G),"Niet gevonden")))</f>
        <v/>
      </c>
      <c r="Q176" t="str">
        <f t="shared" si="4"/>
        <v/>
      </c>
      <c r="R176" t="str">
        <f t="shared" si="5"/>
        <v/>
      </c>
    </row>
    <row r="177" spans="6:18" x14ac:dyDescent="0.25">
      <c r="F177"/>
      <c r="G177" s="20"/>
      <c r="H177" s="21"/>
      <c r="K177" s="23"/>
      <c r="L177" t="str">
        <f>IF(K177="","",IFERROR(_xlfn.XLOOKUP(K177,verfvoorraad!C:C,verfvoorraad!B:B),IFERROR(_xlfn.XLOOKUP(IF(LEFT(UPPER(K177),4)="REV-","REV-"&amp;VALUE(MID(K177,5,99)),IF(LEN(K177)=5,LEFT(K177,2)&amp;"."&amp;RIGHT(K177,3),K177)),verfvoorraad!E:E,verfvoorraad!B:B),"Niet gevonden")))</f>
        <v/>
      </c>
      <c r="M177" t="str">
        <f>IF(K177="","",IFERROR(_xlfn.XLOOKUP(K177,verfvoorraad!C:C,verfvoorraad!D:D),IFERROR(_xlfn.XLOOKUP(IF(LEFT(UPPER(K177),4)="REV-","REV-"&amp;VALUE(MID(K177,5,99)),IF(LEN(K177)=5,LEFT(K177,2)&amp;"."&amp;RIGHT(K177,3),K177)),verfvoorraad!E:E,verfvoorraad!D:D),"Niet gevonden")))</f>
        <v/>
      </c>
      <c r="N177" t="str">
        <f>IF(K177="","",IFERROR(_xlfn.XLOOKUP(K177,verfvoorraad!C:C,verfvoorraad!E:E),IFERROR(_xlfn.XLOOKUP(IF(LEFT(UPPER(K177),4)="REV-","REV-"&amp;VALUE(MID(K177,5,99)),IF(LEN(K177)=5,LEFT(K177,2)&amp;"."&amp;RIGHT(K177,3),K177)),verfvoorraad!E:E,verfvoorraad!E:E),"Niet gevonden")))</f>
        <v/>
      </c>
      <c r="O177" t="str">
        <f>IF(K177="","",IFERROR(_xlfn.XLOOKUP(K177,verfvoorraad!C:C,verfvoorraad!F:F),IFERROR(_xlfn.XLOOKUP(IF(LEFT(UPPER(K177),4)="REV-","REV-"&amp;VALUE(MID(K177,5,99)),IF(LEN(K177)=5,LEFT(K177,2)&amp;"."&amp;RIGHT(K177,3),K177)),verfvoorraad!E:E,verfvoorraad!F:F),"Niet gevonden")))</f>
        <v/>
      </c>
      <c r="P177" t="str">
        <f>IF(K177="","",IFERROR(_xlfn.XLOOKUP(K177,verfvoorraad!C:C,verfvoorraad!G:G),IFERROR(_xlfn.XLOOKUP(IF(LEFT(UPPER(K177),4)="REV-","REV-"&amp;VALUE(MID(K177,5,99)),IF(LEN(K177)=5,LEFT(K177,2)&amp;"."&amp;RIGHT(K177,3),K177)),verfvoorraad!E:E,verfvoorraad!G:G),"Niet gevonden")))</f>
        <v/>
      </c>
      <c r="Q177" t="str">
        <f t="shared" si="4"/>
        <v/>
      </c>
      <c r="R177" t="str">
        <f t="shared" si="5"/>
        <v/>
      </c>
    </row>
    <row r="178" spans="6:18" x14ac:dyDescent="0.25">
      <c r="F178"/>
      <c r="G178" s="20"/>
      <c r="H178" s="21"/>
      <c r="K178" s="23"/>
      <c r="L178" t="str">
        <f>IF(K178="","",IFERROR(_xlfn.XLOOKUP(K178,verfvoorraad!C:C,verfvoorraad!B:B),IFERROR(_xlfn.XLOOKUP(IF(LEFT(UPPER(K178),4)="REV-","REV-"&amp;VALUE(MID(K178,5,99)),IF(LEN(K178)=5,LEFT(K178,2)&amp;"."&amp;RIGHT(K178,3),K178)),verfvoorraad!E:E,verfvoorraad!B:B),"Niet gevonden")))</f>
        <v/>
      </c>
      <c r="M178" t="str">
        <f>IF(K178="","",IFERROR(_xlfn.XLOOKUP(K178,verfvoorraad!C:C,verfvoorraad!D:D),IFERROR(_xlfn.XLOOKUP(IF(LEFT(UPPER(K178),4)="REV-","REV-"&amp;VALUE(MID(K178,5,99)),IF(LEN(K178)=5,LEFT(K178,2)&amp;"."&amp;RIGHT(K178,3),K178)),verfvoorraad!E:E,verfvoorraad!D:D),"Niet gevonden")))</f>
        <v/>
      </c>
      <c r="N178" t="str">
        <f>IF(K178="","",IFERROR(_xlfn.XLOOKUP(K178,verfvoorraad!C:C,verfvoorraad!E:E),IFERROR(_xlfn.XLOOKUP(IF(LEFT(UPPER(K178),4)="REV-","REV-"&amp;VALUE(MID(K178,5,99)),IF(LEN(K178)=5,LEFT(K178,2)&amp;"."&amp;RIGHT(K178,3),K178)),verfvoorraad!E:E,verfvoorraad!E:E),"Niet gevonden")))</f>
        <v/>
      </c>
      <c r="O178" t="str">
        <f>IF(K178="","",IFERROR(_xlfn.XLOOKUP(K178,verfvoorraad!C:C,verfvoorraad!F:F),IFERROR(_xlfn.XLOOKUP(IF(LEFT(UPPER(K178),4)="REV-","REV-"&amp;VALUE(MID(K178,5,99)),IF(LEN(K178)=5,LEFT(K178,2)&amp;"."&amp;RIGHT(K178,3),K178)),verfvoorraad!E:E,verfvoorraad!F:F),"Niet gevonden")))</f>
        <v/>
      </c>
      <c r="P178" t="str">
        <f>IF(K178="","",IFERROR(_xlfn.XLOOKUP(K178,verfvoorraad!C:C,verfvoorraad!G:G),IFERROR(_xlfn.XLOOKUP(IF(LEFT(UPPER(K178),4)="REV-","REV-"&amp;VALUE(MID(K178,5,99)),IF(LEN(K178)=5,LEFT(K178,2)&amp;"."&amp;RIGHT(K178,3),K178)),verfvoorraad!E:E,verfvoorraad!G:G),"Niet gevonden")))</f>
        <v/>
      </c>
      <c r="Q178" t="str">
        <f t="shared" si="4"/>
        <v/>
      </c>
      <c r="R178" t="str">
        <f t="shared" si="5"/>
        <v/>
      </c>
    </row>
    <row r="179" spans="6:18" x14ac:dyDescent="0.25">
      <c r="F179"/>
      <c r="G179" s="20"/>
      <c r="H179" s="21"/>
      <c r="K179" s="23"/>
      <c r="L179" t="str">
        <f>IF(K179="","",IFERROR(_xlfn.XLOOKUP(K179,verfvoorraad!C:C,verfvoorraad!B:B),IFERROR(_xlfn.XLOOKUP(IF(LEFT(UPPER(K179),4)="REV-","REV-"&amp;VALUE(MID(K179,5,99)),IF(LEN(K179)=5,LEFT(K179,2)&amp;"."&amp;RIGHT(K179,3),K179)),verfvoorraad!E:E,verfvoorraad!B:B),"Niet gevonden")))</f>
        <v/>
      </c>
      <c r="M179" t="str">
        <f>IF(K179="","",IFERROR(_xlfn.XLOOKUP(K179,verfvoorraad!C:C,verfvoorraad!D:D),IFERROR(_xlfn.XLOOKUP(IF(LEFT(UPPER(K179),4)="REV-","REV-"&amp;VALUE(MID(K179,5,99)),IF(LEN(K179)=5,LEFT(K179,2)&amp;"."&amp;RIGHT(K179,3),K179)),verfvoorraad!E:E,verfvoorraad!D:D),"Niet gevonden")))</f>
        <v/>
      </c>
      <c r="N179" t="str">
        <f>IF(K179="","",IFERROR(_xlfn.XLOOKUP(K179,verfvoorraad!C:C,verfvoorraad!E:E),IFERROR(_xlfn.XLOOKUP(IF(LEFT(UPPER(K179),4)="REV-","REV-"&amp;VALUE(MID(K179,5,99)),IF(LEN(K179)=5,LEFT(K179,2)&amp;"."&amp;RIGHT(K179,3),K179)),verfvoorraad!E:E,verfvoorraad!E:E),"Niet gevonden")))</f>
        <v/>
      </c>
      <c r="O179" t="str">
        <f>IF(K179="","",IFERROR(_xlfn.XLOOKUP(K179,verfvoorraad!C:C,verfvoorraad!F:F),IFERROR(_xlfn.XLOOKUP(IF(LEFT(UPPER(K179),4)="REV-","REV-"&amp;VALUE(MID(K179,5,99)),IF(LEN(K179)=5,LEFT(K179,2)&amp;"."&amp;RIGHT(K179,3),K179)),verfvoorraad!E:E,verfvoorraad!F:F),"Niet gevonden")))</f>
        <v/>
      </c>
      <c r="P179" t="str">
        <f>IF(K179="","",IFERROR(_xlfn.XLOOKUP(K179,verfvoorraad!C:C,verfvoorraad!G:G),IFERROR(_xlfn.XLOOKUP(IF(LEFT(UPPER(K179),4)="REV-","REV-"&amp;VALUE(MID(K179,5,99)),IF(LEN(K179)=5,LEFT(K179,2)&amp;"."&amp;RIGHT(K179,3),K179)),verfvoorraad!E:E,verfvoorraad!G:G),"Niet gevonden")))</f>
        <v/>
      </c>
      <c r="Q179" t="str">
        <f t="shared" si="4"/>
        <v/>
      </c>
      <c r="R179" t="str">
        <f t="shared" si="5"/>
        <v/>
      </c>
    </row>
    <row r="180" spans="6:18" x14ac:dyDescent="0.25">
      <c r="F180"/>
      <c r="G180" s="20"/>
      <c r="H180" s="21"/>
      <c r="K180" s="23"/>
      <c r="L180" t="str">
        <f>IF(K180="","",IFERROR(_xlfn.XLOOKUP(K180,verfvoorraad!C:C,verfvoorraad!B:B),IFERROR(_xlfn.XLOOKUP(IF(LEFT(UPPER(K180),4)="REV-","REV-"&amp;VALUE(MID(K180,5,99)),IF(LEN(K180)=5,LEFT(K180,2)&amp;"."&amp;RIGHT(K180,3),K180)),verfvoorraad!E:E,verfvoorraad!B:B),"Niet gevonden")))</f>
        <v/>
      </c>
      <c r="M180" t="str">
        <f>IF(K180="","",IFERROR(_xlfn.XLOOKUP(K180,verfvoorraad!C:C,verfvoorraad!D:D),IFERROR(_xlfn.XLOOKUP(IF(LEFT(UPPER(K180),4)="REV-","REV-"&amp;VALUE(MID(K180,5,99)),IF(LEN(K180)=5,LEFT(K180,2)&amp;"."&amp;RIGHT(K180,3),K180)),verfvoorraad!E:E,verfvoorraad!D:D),"Niet gevonden")))</f>
        <v/>
      </c>
      <c r="N180" t="str">
        <f>IF(K180="","",IFERROR(_xlfn.XLOOKUP(K180,verfvoorraad!C:C,verfvoorraad!E:E),IFERROR(_xlfn.XLOOKUP(IF(LEFT(UPPER(K180),4)="REV-","REV-"&amp;VALUE(MID(K180,5,99)),IF(LEN(K180)=5,LEFT(K180,2)&amp;"."&amp;RIGHT(K180,3),K180)),verfvoorraad!E:E,verfvoorraad!E:E),"Niet gevonden")))</f>
        <v/>
      </c>
      <c r="O180" t="str">
        <f>IF(K180="","",IFERROR(_xlfn.XLOOKUP(K180,verfvoorraad!C:C,verfvoorraad!F:F),IFERROR(_xlfn.XLOOKUP(IF(LEFT(UPPER(K180),4)="REV-","REV-"&amp;VALUE(MID(K180,5,99)),IF(LEN(K180)=5,LEFT(K180,2)&amp;"."&amp;RIGHT(K180,3),K180)),verfvoorraad!E:E,verfvoorraad!F:F),"Niet gevonden")))</f>
        <v/>
      </c>
      <c r="P180" t="str">
        <f>IF(K180="","",IFERROR(_xlfn.XLOOKUP(K180,verfvoorraad!C:C,verfvoorraad!G:G),IFERROR(_xlfn.XLOOKUP(IF(LEFT(UPPER(K180),4)="REV-","REV-"&amp;VALUE(MID(K180,5,99)),IF(LEN(K180)=5,LEFT(K180,2)&amp;"."&amp;RIGHT(K180,3),K180)),verfvoorraad!E:E,verfvoorraad!G:G),"Niet gevonden")))</f>
        <v/>
      </c>
      <c r="Q180" t="str">
        <f t="shared" si="4"/>
        <v/>
      </c>
      <c r="R180" t="str">
        <f t="shared" si="5"/>
        <v/>
      </c>
    </row>
    <row r="181" spans="6:18" x14ac:dyDescent="0.25">
      <c r="F181"/>
      <c r="G181" s="20"/>
      <c r="H181" s="21"/>
      <c r="K181" s="23"/>
      <c r="L181" t="str">
        <f>IF(K181="","",IFERROR(_xlfn.XLOOKUP(K181,verfvoorraad!C:C,verfvoorraad!B:B),IFERROR(_xlfn.XLOOKUP(IF(LEFT(UPPER(K181),4)="REV-","REV-"&amp;VALUE(MID(K181,5,99)),IF(LEN(K181)=5,LEFT(K181,2)&amp;"."&amp;RIGHT(K181,3),K181)),verfvoorraad!E:E,verfvoorraad!B:B),"Niet gevonden")))</f>
        <v/>
      </c>
      <c r="M181" t="str">
        <f>IF(K181="","",IFERROR(_xlfn.XLOOKUP(K181,verfvoorraad!C:C,verfvoorraad!D:D),IFERROR(_xlfn.XLOOKUP(IF(LEFT(UPPER(K181),4)="REV-","REV-"&amp;VALUE(MID(K181,5,99)),IF(LEN(K181)=5,LEFT(K181,2)&amp;"."&amp;RIGHT(K181,3),K181)),verfvoorraad!E:E,verfvoorraad!D:D),"Niet gevonden")))</f>
        <v/>
      </c>
      <c r="N181" t="str">
        <f>IF(K181="","",IFERROR(_xlfn.XLOOKUP(K181,verfvoorraad!C:C,verfvoorraad!E:E),IFERROR(_xlfn.XLOOKUP(IF(LEFT(UPPER(K181),4)="REV-","REV-"&amp;VALUE(MID(K181,5,99)),IF(LEN(K181)=5,LEFT(K181,2)&amp;"."&amp;RIGHT(K181,3),K181)),verfvoorraad!E:E,verfvoorraad!E:E),"Niet gevonden")))</f>
        <v/>
      </c>
      <c r="O181" t="str">
        <f>IF(K181="","",IFERROR(_xlfn.XLOOKUP(K181,verfvoorraad!C:C,verfvoorraad!F:F),IFERROR(_xlfn.XLOOKUP(IF(LEFT(UPPER(K181),4)="REV-","REV-"&amp;VALUE(MID(K181,5,99)),IF(LEN(K181)=5,LEFT(K181,2)&amp;"."&amp;RIGHT(K181,3),K181)),verfvoorraad!E:E,verfvoorraad!F:F),"Niet gevonden")))</f>
        <v/>
      </c>
      <c r="P181" t="str">
        <f>IF(K181="","",IFERROR(_xlfn.XLOOKUP(K181,verfvoorraad!C:C,verfvoorraad!G:G),IFERROR(_xlfn.XLOOKUP(IF(LEFT(UPPER(K181),4)="REV-","REV-"&amp;VALUE(MID(K181,5,99)),IF(LEN(K181)=5,LEFT(K181,2)&amp;"."&amp;RIGHT(K181,3),K181)),verfvoorraad!E:E,verfvoorraad!G:G),"Niet gevonden")))</f>
        <v/>
      </c>
      <c r="Q181" t="str">
        <f t="shared" si="4"/>
        <v/>
      </c>
      <c r="R181" t="str">
        <f t="shared" si="5"/>
        <v/>
      </c>
    </row>
    <row r="182" spans="6:18" x14ac:dyDescent="0.25">
      <c r="F182"/>
      <c r="G182" s="20"/>
      <c r="H182" s="21"/>
      <c r="K182" s="23"/>
      <c r="L182" t="str">
        <f>IF(K182="","",IFERROR(_xlfn.XLOOKUP(K182,verfvoorraad!C:C,verfvoorraad!B:B),IFERROR(_xlfn.XLOOKUP(IF(LEFT(UPPER(K182),4)="REV-","REV-"&amp;VALUE(MID(K182,5,99)),IF(LEN(K182)=5,LEFT(K182,2)&amp;"."&amp;RIGHT(K182,3),K182)),verfvoorraad!E:E,verfvoorraad!B:B),"Niet gevonden")))</f>
        <v/>
      </c>
      <c r="M182" t="str">
        <f>IF(K182="","",IFERROR(_xlfn.XLOOKUP(K182,verfvoorraad!C:C,verfvoorraad!D:D),IFERROR(_xlfn.XLOOKUP(IF(LEFT(UPPER(K182),4)="REV-","REV-"&amp;VALUE(MID(K182,5,99)),IF(LEN(K182)=5,LEFT(K182,2)&amp;"."&amp;RIGHT(K182,3),K182)),verfvoorraad!E:E,verfvoorraad!D:D),"Niet gevonden")))</f>
        <v/>
      </c>
      <c r="N182" t="str">
        <f>IF(K182="","",IFERROR(_xlfn.XLOOKUP(K182,verfvoorraad!C:C,verfvoorraad!E:E),IFERROR(_xlfn.XLOOKUP(IF(LEFT(UPPER(K182),4)="REV-","REV-"&amp;VALUE(MID(K182,5,99)),IF(LEN(K182)=5,LEFT(K182,2)&amp;"."&amp;RIGHT(K182,3),K182)),verfvoorraad!E:E,verfvoorraad!E:E),"Niet gevonden")))</f>
        <v/>
      </c>
      <c r="O182" t="str">
        <f>IF(K182="","",IFERROR(_xlfn.XLOOKUP(K182,verfvoorraad!C:C,verfvoorraad!F:F),IFERROR(_xlfn.XLOOKUP(IF(LEFT(UPPER(K182),4)="REV-","REV-"&amp;VALUE(MID(K182,5,99)),IF(LEN(K182)=5,LEFT(K182,2)&amp;"."&amp;RIGHT(K182,3),K182)),verfvoorraad!E:E,verfvoorraad!F:F),"Niet gevonden")))</f>
        <v/>
      </c>
      <c r="P182" t="str">
        <f>IF(K182="","",IFERROR(_xlfn.XLOOKUP(K182,verfvoorraad!C:C,verfvoorraad!G:G),IFERROR(_xlfn.XLOOKUP(IF(LEFT(UPPER(K182),4)="REV-","REV-"&amp;VALUE(MID(K182,5,99)),IF(LEN(K182)=5,LEFT(K182,2)&amp;"."&amp;RIGHT(K182,3),K182)),verfvoorraad!E:E,verfvoorraad!G:G),"Niet gevonden")))</f>
        <v/>
      </c>
      <c r="Q182" t="str">
        <f t="shared" si="4"/>
        <v/>
      </c>
      <c r="R182" t="str">
        <f t="shared" si="5"/>
        <v/>
      </c>
    </row>
    <row r="183" spans="6:18" x14ac:dyDescent="0.25">
      <c r="F183"/>
      <c r="G183" s="20"/>
      <c r="H183" s="21"/>
      <c r="K183" s="23"/>
      <c r="L183" t="str">
        <f>IF(K183="","",IFERROR(_xlfn.XLOOKUP(K183,verfvoorraad!C:C,verfvoorraad!B:B),IFERROR(_xlfn.XLOOKUP(IF(LEFT(UPPER(K183),4)="REV-","REV-"&amp;VALUE(MID(K183,5,99)),IF(LEN(K183)=5,LEFT(K183,2)&amp;"."&amp;RIGHT(K183,3),K183)),verfvoorraad!E:E,verfvoorraad!B:B),"Niet gevonden")))</f>
        <v/>
      </c>
      <c r="M183" t="str">
        <f>IF(K183="","",IFERROR(_xlfn.XLOOKUP(K183,verfvoorraad!C:C,verfvoorraad!D:D),IFERROR(_xlfn.XLOOKUP(IF(LEFT(UPPER(K183),4)="REV-","REV-"&amp;VALUE(MID(K183,5,99)),IF(LEN(K183)=5,LEFT(K183,2)&amp;"."&amp;RIGHT(K183,3),K183)),verfvoorraad!E:E,verfvoorraad!D:D),"Niet gevonden")))</f>
        <v/>
      </c>
      <c r="N183" t="str">
        <f>IF(K183="","",IFERROR(_xlfn.XLOOKUP(K183,verfvoorraad!C:C,verfvoorraad!E:E),IFERROR(_xlfn.XLOOKUP(IF(LEFT(UPPER(K183),4)="REV-","REV-"&amp;VALUE(MID(K183,5,99)),IF(LEN(K183)=5,LEFT(K183,2)&amp;"."&amp;RIGHT(K183,3),K183)),verfvoorraad!E:E,verfvoorraad!E:E),"Niet gevonden")))</f>
        <v/>
      </c>
      <c r="O183" t="str">
        <f>IF(K183="","",IFERROR(_xlfn.XLOOKUP(K183,verfvoorraad!C:C,verfvoorraad!F:F),IFERROR(_xlfn.XLOOKUP(IF(LEFT(UPPER(K183),4)="REV-","REV-"&amp;VALUE(MID(K183,5,99)),IF(LEN(K183)=5,LEFT(K183,2)&amp;"."&amp;RIGHT(K183,3),K183)),verfvoorraad!E:E,verfvoorraad!F:F),"Niet gevonden")))</f>
        <v/>
      </c>
      <c r="P183" t="str">
        <f>IF(K183="","",IFERROR(_xlfn.XLOOKUP(K183,verfvoorraad!C:C,verfvoorraad!G:G),IFERROR(_xlfn.XLOOKUP(IF(LEFT(UPPER(K183),4)="REV-","REV-"&amp;VALUE(MID(K183,5,99)),IF(LEN(K183)=5,LEFT(K183,2)&amp;"."&amp;RIGHT(K183,3),K183)),verfvoorraad!E:E,verfvoorraad!G:G),"Niet gevonden")))</f>
        <v/>
      </c>
      <c r="Q183" t="str">
        <f t="shared" si="4"/>
        <v/>
      </c>
      <c r="R183" t="str">
        <f t="shared" si="5"/>
        <v/>
      </c>
    </row>
    <row r="184" spans="6:18" x14ac:dyDescent="0.25">
      <c r="F184"/>
      <c r="G184" s="20"/>
      <c r="H184" s="21"/>
      <c r="K184" s="23"/>
      <c r="L184" t="str">
        <f>IF(K184="","",IFERROR(_xlfn.XLOOKUP(K184,verfvoorraad!C:C,verfvoorraad!B:B),IFERROR(_xlfn.XLOOKUP(IF(LEFT(UPPER(K184),4)="REV-","REV-"&amp;VALUE(MID(K184,5,99)),IF(LEN(K184)=5,LEFT(K184,2)&amp;"."&amp;RIGHT(K184,3),K184)),verfvoorraad!E:E,verfvoorraad!B:B),"Niet gevonden")))</f>
        <v/>
      </c>
      <c r="M184" t="str">
        <f>IF(K184="","",IFERROR(_xlfn.XLOOKUP(K184,verfvoorraad!C:C,verfvoorraad!D:D),IFERROR(_xlfn.XLOOKUP(IF(LEFT(UPPER(K184),4)="REV-","REV-"&amp;VALUE(MID(K184,5,99)),IF(LEN(K184)=5,LEFT(K184,2)&amp;"."&amp;RIGHT(K184,3),K184)),verfvoorraad!E:E,verfvoorraad!D:D),"Niet gevonden")))</f>
        <v/>
      </c>
      <c r="N184" t="str">
        <f>IF(K184="","",IFERROR(_xlfn.XLOOKUP(K184,verfvoorraad!C:C,verfvoorraad!E:E),IFERROR(_xlfn.XLOOKUP(IF(LEFT(UPPER(K184),4)="REV-","REV-"&amp;VALUE(MID(K184,5,99)),IF(LEN(K184)=5,LEFT(K184,2)&amp;"."&amp;RIGHT(K184,3),K184)),verfvoorraad!E:E,verfvoorraad!E:E),"Niet gevonden")))</f>
        <v/>
      </c>
      <c r="O184" t="str">
        <f>IF(K184="","",IFERROR(_xlfn.XLOOKUP(K184,verfvoorraad!C:C,verfvoorraad!F:F),IFERROR(_xlfn.XLOOKUP(IF(LEFT(UPPER(K184),4)="REV-","REV-"&amp;VALUE(MID(K184,5,99)),IF(LEN(K184)=5,LEFT(K184,2)&amp;"."&amp;RIGHT(K184,3),K184)),verfvoorraad!E:E,verfvoorraad!F:F),"Niet gevonden")))</f>
        <v/>
      </c>
      <c r="P184" t="str">
        <f>IF(K184="","",IFERROR(_xlfn.XLOOKUP(K184,verfvoorraad!C:C,verfvoorraad!G:G),IFERROR(_xlfn.XLOOKUP(IF(LEFT(UPPER(K184),4)="REV-","REV-"&amp;VALUE(MID(K184,5,99)),IF(LEN(K184)=5,LEFT(K184,2)&amp;"."&amp;RIGHT(K184,3),K184)),verfvoorraad!E:E,verfvoorraad!G:G),"Niet gevonden")))</f>
        <v/>
      </c>
      <c r="Q184" t="str">
        <f t="shared" si="4"/>
        <v/>
      </c>
      <c r="R184" t="str">
        <f t="shared" si="5"/>
        <v/>
      </c>
    </row>
    <row r="185" spans="6:18" x14ac:dyDescent="0.25">
      <c r="F185"/>
      <c r="G185" s="20"/>
      <c r="H185" s="21"/>
      <c r="K185" s="23"/>
      <c r="L185" t="str">
        <f>IF(K185="","",IFERROR(_xlfn.XLOOKUP(K185,verfvoorraad!C:C,verfvoorraad!B:B),IFERROR(_xlfn.XLOOKUP(IF(LEFT(UPPER(K185),4)="REV-","REV-"&amp;VALUE(MID(K185,5,99)),IF(LEN(K185)=5,LEFT(K185,2)&amp;"."&amp;RIGHT(K185,3),K185)),verfvoorraad!E:E,verfvoorraad!B:B),"Niet gevonden")))</f>
        <v/>
      </c>
      <c r="M185" t="str">
        <f>IF(K185="","",IFERROR(_xlfn.XLOOKUP(K185,verfvoorraad!C:C,verfvoorraad!D:D),IFERROR(_xlfn.XLOOKUP(IF(LEFT(UPPER(K185),4)="REV-","REV-"&amp;VALUE(MID(K185,5,99)),IF(LEN(K185)=5,LEFT(K185,2)&amp;"."&amp;RIGHT(K185,3),K185)),verfvoorraad!E:E,verfvoorraad!D:D),"Niet gevonden")))</f>
        <v/>
      </c>
      <c r="N185" t="str">
        <f>IF(K185="","",IFERROR(_xlfn.XLOOKUP(K185,verfvoorraad!C:C,verfvoorraad!E:E),IFERROR(_xlfn.XLOOKUP(IF(LEFT(UPPER(K185),4)="REV-","REV-"&amp;VALUE(MID(K185,5,99)),IF(LEN(K185)=5,LEFT(K185,2)&amp;"."&amp;RIGHT(K185,3),K185)),verfvoorraad!E:E,verfvoorraad!E:E),"Niet gevonden")))</f>
        <v/>
      </c>
      <c r="O185" t="str">
        <f>IF(K185="","",IFERROR(_xlfn.XLOOKUP(K185,verfvoorraad!C:C,verfvoorraad!F:F),IFERROR(_xlfn.XLOOKUP(IF(LEFT(UPPER(K185),4)="REV-","REV-"&amp;VALUE(MID(K185,5,99)),IF(LEN(K185)=5,LEFT(K185,2)&amp;"."&amp;RIGHT(K185,3),K185)),verfvoorraad!E:E,verfvoorraad!F:F),"Niet gevonden")))</f>
        <v/>
      </c>
      <c r="P185" t="str">
        <f>IF(K185="","",IFERROR(_xlfn.XLOOKUP(K185,verfvoorraad!C:C,verfvoorraad!G:G),IFERROR(_xlfn.XLOOKUP(IF(LEFT(UPPER(K185),4)="REV-","REV-"&amp;VALUE(MID(K185,5,99)),IF(LEN(K185)=5,LEFT(K185,2)&amp;"."&amp;RIGHT(K185,3),K185)),verfvoorraad!E:E,verfvoorraad!G:G),"Niet gevonden")))</f>
        <v/>
      </c>
      <c r="Q185" t="str">
        <f t="shared" si="4"/>
        <v/>
      </c>
      <c r="R185" t="str">
        <f t="shared" si="5"/>
        <v/>
      </c>
    </row>
    <row r="186" spans="6:18" x14ac:dyDescent="0.25">
      <c r="F186"/>
      <c r="G186" s="20"/>
      <c r="H186" s="21"/>
      <c r="K186" s="23"/>
      <c r="L186" t="str">
        <f>IF(K186="","",IFERROR(_xlfn.XLOOKUP(K186,verfvoorraad!C:C,verfvoorraad!B:B),IFERROR(_xlfn.XLOOKUP(IF(LEFT(UPPER(K186),4)="REV-","REV-"&amp;VALUE(MID(K186,5,99)),IF(LEN(K186)=5,LEFT(K186,2)&amp;"."&amp;RIGHT(K186,3),K186)),verfvoorraad!E:E,verfvoorraad!B:B),"Niet gevonden")))</f>
        <v/>
      </c>
      <c r="M186" t="str">
        <f>IF(K186="","",IFERROR(_xlfn.XLOOKUP(K186,verfvoorraad!C:C,verfvoorraad!D:D),IFERROR(_xlfn.XLOOKUP(IF(LEFT(UPPER(K186),4)="REV-","REV-"&amp;VALUE(MID(K186,5,99)),IF(LEN(K186)=5,LEFT(K186,2)&amp;"."&amp;RIGHT(K186,3),K186)),verfvoorraad!E:E,verfvoorraad!D:D),"Niet gevonden")))</f>
        <v/>
      </c>
      <c r="N186" t="str">
        <f>IF(K186="","",IFERROR(_xlfn.XLOOKUP(K186,verfvoorraad!C:C,verfvoorraad!E:E),IFERROR(_xlfn.XLOOKUP(IF(LEFT(UPPER(K186),4)="REV-","REV-"&amp;VALUE(MID(K186,5,99)),IF(LEN(K186)=5,LEFT(K186,2)&amp;"."&amp;RIGHT(K186,3),K186)),verfvoorraad!E:E,verfvoorraad!E:E),"Niet gevonden")))</f>
        <v/>
      </c>
      <c r="O186" t="str">
        <f>IF(K186="","",IFERROR(_xlfn.XLOOKUP(K186,verfvoorraad!C:C,verfvoorraad!F:F),IFERROR(_xlfn.XLOOKUP(IF(LEFT(UPPER(K186),4)="REV-","REV-"&amp;VALUE(MID(K186,5,99)),IF(LEN(K186)=5,LEFT(K186,2)&amp;"."&amp;RIGHT(K186,3),K186)),verfvoorraad!E:E,verfvoorraad!F:F),"Niet gevonden")))</f>
        <v/>
      </c>
      <c r="P186" t="str">
        <f>IF(K186="","",IFERROR(_xlfn.XLOOKUP(K186,verfvoorraad!C:C,verfvoorraad!G:G),IFERROR(_xlfn.XLOOKUP(IF(LEFT(UPPER(K186),4)="REV-","REV-"&amp;VALUE(MID(K186,5,99)),IF(LEN(K186)=5,LEFT(K186,2)&amp;"."&amp;RIGHT(K186,3),K186)),verfvoorraad!E:E,verfvoorraad!G:G),"Niet gevonden")))</f>
        <v/>
      </c>
      <c r="Q186" t="str">
        <f t="shared" si="4"/>
        <v/>
      </c>
      <c r="R186" t="str">
        <f t="shared" si="5"/>
        <v/>
      </c>
    </row>
    <row r="187" spans="6:18" x14ac:dyDescent="0.25">
      <c r="F187"/>
      <c r="G187" s="20"/>
      <c r="H187" s="21"/>
      <c r="K187" s="23"/>
      <c r="L187" t="str">
        <f>IF(K187="","",IFERROR(_xlfn.XLOOKUP(K187,verfvoorraad!C:C,verfvoorraad!B:B),IFERROR(_xlfn.XLOOKUP(IF(LEFT(UPPER(K187),4)="REV-","REV-"&amp;VALUE(MID(K187,5,99)),IF(LEN(K187)=5,LEFT(K187,2)&amp;"."&amp;RIGHT(K187,3),K187)),verfvoorraad!E:E,verfvoorraad!B:B),"Niet gevonden")))</f>
        <v/>
      </c>
      <c r="M187" t="str">
        <f>IF(K187="","",IFERROR(_xlfn.XLOOKUP(K187,verfvoorraad!C:C,verfvoorraad!D:D),IFERROR(_xlfn.XLOOKUP(IF(LEFT(UPPER(K187),4)="REV-","REV-"&amp;VALUE(MID(K187,5,99)),IF(LEN(K187)=5,LEFT(K187,2)&amp;"."&amp;RIGHT(K187,3),K187)),verfvoorraad!E:E,verfvoorraad!D:D),"Niet gevonden")))</f>
        <v/>
      </c>
      <c r="N187" t="str">
        <f>IF(K187="","",IFERROR(_xlfn.XLOOKUP(K187,verfvoorraad!C:C,verfvoorraad!E:E),IFERROR(_xlfn.XLOOKUP(IF(LEFT(UPPER(K187),4)="REV-","REV-"&amp;VALUE(MID(K187,5,99)),IF(LEN(K187)=5,LEFT(K187,2)&amp;"."&amp;RIGHT(K187,3),K187)),verfvoorraad!E:E,verfvoorraad!E:E),"Niet gevonden")))</f>
        <v/>
      </c>
      <c r="O187" t="str">
        <f>IF(K187="","",IFERROR(_xlfn.XLOOKUP(K187,verfvoorraad!C:C,verfvoorraad!F:F),IFERROR(_xlfn.XLOOKUP(IF(LEFT(UPPER(K187),4)="REV-","REV-"&amp;VALUE(MID(K187,5,99)),IF(LEN(K187)=5,LEFT(K187,2)&amp;"."&amp;RIGHT(K187,3),K187)),verfvoorraad!E:E,verfvoorraad!F:F),"Niet gevonden")))</f>
        <v/>
      </c>
      <c r="P187" t="str">
        <f>IF(K187="","",IFERROR(_xlfn.XLOOKUP(K187,verfvoorraad!C:C,verfvoorraad!G:G),IFERROR(_xlfn.XLOOKUP(IF(LEFT(UPPER(K187),4)="REV-","REV-"&amp;VALUE(MID(K187,5,99)),IF(LEN(K187)=5,LEFT(K187,2)&amp;"."&amp;RIGHT(K187,3),K187)),verfvoorraad!E:E,verfvoorraad!G:G),"Niet gevonden")))</f>
        <v/>
      </c>
      <c r="Q187" t="str">
        <f t="shared" si="4"/>
        <v/>
      </c>
      <c r="R187" t="str">
        <f t="shared" si="5"/>
        <v/>
      </c>
    </row>
    <row r="188" spans="6:18" x14ac:dyDescent="0.25">
      <c r="F188"/>
      <c r="G188" s="20"/>
      <c r="H188" s="21"/>
      <c r="K188" s="23"/>
      <c r="L188" t="str">
        <f>IF(K188="","",IFERROR(_xlfn.XLOOKUP(K188,verfvoorraad!C:C,verfvoorraad!B:B),IFERROR(_xlfn.XLOOKUP(IF(LEFT(UPPER(K188),4)="REV-","REV-"&amp;VALUE(MID(K188,5,99)),IF(LEN(K188)=5,LEFT(K188,2)&amp;"."&amp;RIGHT(K188,3),K188)),verfvoorraad!E:E,verfvoorraad!B:B),"Niet gevonden")))</f>
        <v/>
      </c>
      <c r="M188" t="str">
        <f>IF(K188="","",IFERROR(_xlfn.XLOOKUP(K188,verfvoorraad!C:C,verfvoorraad!D:D),IFERROR(_xlfn.XLOOKUP(IF(LEFT(UPPER(K188),4)="REV-","REV-"&amp;VALUE(MID(K188,5,99)),IF(LEN(K188)=5,LEFT(K188,2)&amp;"."&amp;RIGHT(K188,3),K188)),verfvoorraad!E:E,verfvoorraad!D:D),"Niet gevonden")))</f>
        <v/>
      </c>
      <c r="N188" t="str">
        <f>IF(K188="","",IFERROR(_xlfn.XLOOKUP(K188,verfvoorraad!C:C,verfvoorraad!E:E),IFERROR(_xlfn.XLOOKUP(IF(LEFT(UPPER(K188),4)="REV-","REV-"&amp;VALUE(MID(K188,5,99)),IF(LEN(K188)=5,LEFT(K188,2)&amp;"."&amp;RIGHT(K188,3),K188)),verfvoorraad!E:E,verfvoorraad!E:E),"Niet gevonden")))</f>
        <v/>
      </c>
      <c r="O188" t="str">
        <f>IF(K188="","",IFERROR(_xlfn.XLOOKUP(K188,verfvoorraad!C:C,verfvoorraad!F:F),IFERROR(_xlfn.XLOOKUP(IF(LEFT(UPPER(K188),4)="REV-","REV-"&amp;VALUE(MID(K188,5,99)),IF(LEN(K188)=5,LEFT(K188,2)&amp;"."&amp;RIGHT(K188,3),K188)),verfvoorraad!E:E,verfvoorraad!F:F),"Niet gevonden")))</f>
        <v/>
      </c>
      <c r="P188" t="str">
        <f>IF(K188="","",IFERROR(_xlfn.XLOOKUP(K188,verfvoorraad!C:C,verfvoorraad!G:G),IFERROR(_xlfn.XLOOKUP(IF(LEFT(UPPER(K188),4)="REV-","REV-"&amp;VALUE(MID(K188,5,99)),IF(LEN(K188)=5,LEFT(K188,2)&amp;"."&amp;RIGHT(K188,3),K188)),verfvoorraad!E:E,verfvoorraad!G:G),"Niet gevonden")))</f>
        <v/>
      </c>
      <c r="Q188" t="str">
        <f t="shared" si="4"/>
        <v/>
      </c>
      <c r="R188" t="str">
        <f t="shared" si="5"/>
        <v/>
      </c>
    </row>
    <row r="189" spans="6:18" x14ac:dyDescent="0.25">
      <c r="F189"/>
      <c r="G189" s="20"/>
      <c r="H189" s="21"/>
      <c r="K189" s="23"/>
      <c r="L189" t="str">
        <f>IF(K189="","",IFERROR(_xlfn.XLOOKUP(K189,verfvoorraad!C:C,verfvoorraad!B:B),IFERROR(_xlfn.XLOOKUP(IF(LEFT(UPPER(K189),4)="REV-","REV-"&amp;VALUE(MID(K189,5,99)),IF(LEN(K189)=5,LEFT(K189,2)&amp;"."&amp;RIGHT(K189,3),K189)),verfvoorraad!E:E,verfvoorraad!B:B),"Niet gevonden")))</f>
        <v/>
      </c>
      <c r="M189" t="str">
        <f>IF(K189="","",IFERROR(_xlfn.XLOOKUP(K189,verfvoorraad!C:C,verfvoorraad!D:D),IFERROR(_xlfn.XLOOKUP(IF(LEFT(UPPER(K189),4)="REV-","REV-"&amp;VALUE(MID(K189,5,99)),IF(LEN(K189)=5,LEFT(K189,2)&amp;"."&amp;RIGHT(K189,3),K189)),verfvoorraad!E:E,verfvoorraad!D:D),"Niet gevonden")))</f>
        <v/>
      </c>
      <c r="N189" t="str">
        <f>IF(K189="","",IFERROR(_xlfn.XLOOKUP(K189,verfvoorraad!C:C,verfvoorraad!E:E),IFERROR(_xlfn.XLOOKUP(IF(LEFT(UPPER(K189),4)="REV-","REV-"&amp;VALUE(MID(K189,5,99)),IF(LEN(K189)=5,LEFT(K189,2)&amp;"."&amp;RIGHT(K189,3),K189)),verfvoorraad!E:E,verfvoorraad!E:E),"Niet gevonden")))</f>
        <v/>
      </c>
      <c r="O189" t="str">
        <f>IF(K189="","",IFERROR(_xlfn.XLOOKUP(K189,verfvoorraad!C:C,verfvoorraad!F:F),IFERROR(_xlfn.XLOOKUP(IF(LEFT(UPPER(K189),4)="REV-","REV-"&amp;VALUE(MID(K189,5,99)),IF(LEN(K189)=5,LEFT(K189,2)&amp;"."&amp;RIGHT(K189,3),K189)),verfvoorraad!E:E,verfvoorraad!F:F),"Niet gevonden")))</f>
        <v/>
      </c>
      <c r="P189" t="str">
        <f>IF(K189="","",IFERROR(_xlfn.XLOOKUP(K189,verfvoorraad!C:C,verfvoorraad!G:G),IFERROR(_xlfn.XLOOKUP(IF(LEFT(UPPER(K189),4)="REV-","REV-"&amp;VALUE(MID(K189,5,99)),IF(LEN(K189)=5,LEFT(K189,2)&amp;"."&amp;RIGHT(K189,3),K189)),verfvoorraad!E:E,verfvoorraad!G:G),"Niet gevonden")))</f>
        <v/>
      </c>
      <c r="Q189" t="str">
        <f t="shared" si="4"/>
        <v/>
      </c>
      <c r="R189" t="str">
        <f t="shared" si="5"/>
        <v/>
      </c>
    </row>
    <row r="190" spans="6:18" x14ac:dyDescent="0.25">
      <c r="F190"/>
      <c r="G190" s="20"/>
      <c r="H190" s="21"/>
      <c r="K190" s="23"/>
      <c r="L190" t="str">
        <f>IF(K190="","",IFERROR(_xlfn.XLOOKUP(K190,verfvoorraad!C:C,verfvoorraad!B:B),IFERROR(_xlfn.XLOOKUP(IF(LEFT(UPPER(K190),4)="REV-","REV-"&amp;VALUE(MID(K190,5,99)),IF(LEN(K190)=5,LEFT(K190,2)&amp;"."&amp;RIGHT(K190,3),K190)),verfvoorraad!E:E,verfvoorraad!B:B),"Niet gevonden")))</f>
        <v/>
      </c>
      <c r="M190" t="str">
        <f>IF(K190="","",IFERROR(_xlfn.XLOOKUP(K190,verfvoorraad!C:C,verfvoorraad!D:D),IFERROR(_xlfn.XLOOKUP(IF(LEFT(UPPER(K190),4)="REV-","REV-"&amp;VALUE(MID(K190,5,99)),IF(LEN(K190)=5,LEFT(K190,2)&amp;"."&amp;RIGHT(K190,3),K190)),verfvoorraad!E:E,verfvoorraad!D:D),"Niet gevonden")))</f>
        <v/>
      </c>
      <c r="N190" t="str">
        <f>IF(K190="","",IFERROR(_xlfn.XLOOKUP(K190,verfvoorraad!C:C,verfvoorraad!E:E),IFERROR(_xlfn.XLOOKUP(IF(LEFT(UPPER(K190),4)="REV-","REV-"&amp;VALUE(MID(K190,5,99)),IF(LEN(K190)=5,LEFT(K190,2)&amp;"."&amp;RIGHT(K190,3),K190)),verfvoorraad!E:E,verfvoorraad!E:E),"Niet gevonden")))</f>
        <v/>
      </c>
      <c r="O190" t="str">
        <f>IF(K190="","",IFERROR(_xlfn.XLOOKUP(K190,verfvoorraad!C:C,verfvoorraad!F:F),IFERROR(_xlfn.XLOOKUP(IF(LEFT(UPPER(K190),4)="REV-","REV-"&amp;VALUE(MID(K190,5,99)),IF(LEN(K190)=5,LEFT(K190,2)&amp;"."&amp;RIGHT(K190,3),K190)),verfvoorraad!E:E,verfvoorraad!F:F),"Niet gevonden")))</f>
        <v/>
      </c>
      <c r="P190" t="str">
        <f>IF(K190="","",IFERROR(_xlfn.XLOOKUP(K190,verfvoorraad!C:C,verfvoorraad!G:G),IFERROR(_xlfn.XLOOKUP(IF(LEFT(UPPER(K190),4)="REV-","REV-"&amp;VALUE(MID(K190,5,99)),IF(LEN(K190)=5,LEFT(K190,2)&amp;"."&amp;RIGHT(K190,3),K190)),verfvoorraad!E:E,verfvoorraad!G:G),"Niet gevonden")))</f>
        <v/>
      </c>
      <c r="Q190" t="str">
        <f t="shared" si="4"/>
        <v/>
      </c>
      <c r="R190" t="str">
        <f t="shared" si="5"/>
        <v/>
      </c>
    </row>
    <row r="191" spans="6:18" x14ac:dyDescent="0.25">
      <c r="F191"/>
      <c r="G191" s="20"/>
      <c r="H191" s="21"/>
      <c r="K191" s="23"/>
      <c r="L191" t="str">
        <f>IF(K191="","",IFERROR(_xlfn.XLOOKUP(K191,verfvoorraad!C:C,verfvoorraad!B:B),IFERROR(_xlfn.XLOOKUP(IF(LEFT(UPPER(K191),4)="REV-","REV-"&amp;VALUE(MID(K191,5,99)),IF(LEN(K191)=5,LEFT(K191,2)&amp;"."&amp;RIGHT(K191,3),K191)),verfvoorraad!E:E,verfvoorraad!B:B),"Niet gevonden")))</f>
        <v/>
      </c>
      <c r="M191" t="str">
        <f>IF(K191="","",IFERROR(_xlfn.XLOOKUP(K191,verfvoorraad!C:C,verfvoorraad!D:D),IFERROR(_xlfn.XLOOKUP(IF(LEFT(UPPER(K191),4)="REV-","REV-"&amp;VALUE(MID(K191,5,99)),IF(LEN(K191)=5,LEFT(K191,2)&amp;"."&amp;RIGHT(K191,3),K191)),verfvoorraad!E:E,verfvoorraad!D:D),"Niet gevonden")))</f>
        <v/>
      </c>
      <c r="N191" t="str">
        <f>IF(K191="","",IFERROR(_xlfn.XLOOKUP(K191,verfvoorraad!C:C,verfvoorraad!E:E),IFERROR(_xlfn.XLOOKUP(IF(LEFT(UPPER(K191),4)="REV-","REV-"&amp;VALUE(MID(K191,5,99)),IF(LEN(K191)=5,LEFT(K191,2)&amp;"."&amp;RIGHT(K191,3),K191)),verfvoorraad!E:E,verfvoorraad!E:E),"Niet gevonden")))</f>
        <v/>
      </c>
      <c r="O191" t="str">
        <f>IF(K191="","",IFERROR(_xlfn.XLOOKUP(K191,verfvoorraad!C:C,verfvoorraad!F:F),IFERROR(_xlfn.XLOOKUP(IF(LEFT(UPPER(K191),4)="REV-","REV-"&amp;VALUE(MID(K191,5,99)),IF(LEN(K191)=5,LEFT(K191,2)&amp;"."&amp;RIGHT(K191,3),K191)),verfvoorraad!E:E,verfvoorraad!F:F),"Niet gevonden")))</f>
        <v/>
      </c>
      <c r="P191" t="str">
        <f>IF(K191="","",IFERROR(_xlfn.XLOOKUP(K191,verfvoorraad!C:C,verfvoorraad!G:G),IFERROR(_xlfn.XLOOKUP(IF(LEFT(UPPER(K191),4)="REV-","REV-"&amp;VALUE(MID(K191,5,99)),IF(LEN(K191)=5,LEFT(K191,2)&amp;"."&amp;RIGHT(K191,3),K191)),verfvoorraad!E:E,verfvoorraad!G:G),"Niet gevonden")))</f>
        <v/>
      </c>
      <c r="Q191" t="str">
        <f t="shared" si="4"/>
        <v/>
      </c>
      <c r="R191" t="str">
        <f t="shared" si="5"/>
        <v/>
      </c>
    </row>
    <row r="192" spans="6:18" x14ac:dyDescent="0.25">
      <c r="F192"/>
      <c r="G192" s="20"/>
      <c r="H192" s="21"/>
      <c r="K192" s="23"/>
      <c r="L192" t="str">
        <f>IF(K192="","",IFERROR(_xlfn.XLOOKUP(K192,verfvoorraad!C:C,verfvoorraad!B:B),IFERROR(_xlfn.XLOOKUP(IF(LEFT(UPPER(K192),4)="REV-","REV-"&amp;VALUE(MID(K192,5,99)),IF(LEN(K192)=5,LEFT(K192,2)&amp;"."&amp;RIGHT(K192,3),K192)),verfvoorraad!E:E,verfvoorraad!B:B),"Niet gevonden")))</f>
        <v/>
      </c>
      <c r="M192" t="str">
        <f>IF(K192="","",IFERROR(_xlfn.XLOOKUP(K192,verfvoorraad!C:C,verfvoorraad!D:D),IFERROR(_xlfn.XLOOKUP(IF(LEFT(UPPER(K192),4)="REV-","REV-"&amp;VALUE(MID(K192,5,99)),IF(LEN(K192)=5,LEFT(K192,2)&amp;"."&amp;RIGHT(K192,3),K192)),verfvoorraad!E:E,verfvoorraad!D:D),"Niet gevonden")))</f>
        <v/>
      </c>
      <c r="N192" t="str">
        <f>IF(K192="","",IFERROR(_xlfn.XLOOKUP(K192,verfvoorraad!C:C,verfvoorraad!E:E),IFERROR(_xlfn.XLOOKUP(IF(LEFT(UPPER(K192),4)="REV-","REV-"&amp;VALUE(MID(K192,5,99)),IF(LEN(K192)=5,LEFT(K192,2)&amp;"."&amp;RIGHT(K192,3),K192)),verfvoorraad!E:E,verfvoorraad!E:E),"Niet gevonden")))</f>
        <v/>
      </c>
      <c r="O192" t="str">
        <f>IF(K192="","",IFERROR(_xlfn.XLOOKUP(K192,verfvoorraad!C:C,verfvoorraad!F:F),IFERROR(_xlfn.XLOOKUP(IF(LEFT(UPPER(K192),4)="REV-","REV-"&amp;VALUE(MID(K192,5,99)),IF(LEN(K192)=5,LEFT(K192,2)&amp;"."&amp;RIGHT(K192,3),K192)),verfvoorraad!E:E,verfvoorraad!F:F),"Niet gevonden")))</f>
        <v/>
      </c>
      <c r="P192" t="str">
        <f>IF(K192="","",IFERROR(_xlfn.XLOOKUP(K192,verfvoorraad!C:C,verfvoorraad!G:G),IFERROR(_xlfn.XLOOKUP(IF(LEFT(UPPER(K192),4)="REV-","REV-"&amp;VALUE(MID(K192,5,99)),IF(LEN(K192)=5,LEFT(K192,2)&amp;"."&amp;RIGHT(K192,3),K192)),verfvoorraad!E:E,verfvoorraad!G:G),"Niet gevonden")))</f>
        <v/>
      </c>
      <c r="Q192" t="str">
        <f t="shared" si="4"/>
        <v/>
      </c>
      <c r="R192" t="str">
        <f t="shared" si="5"/>
        <v/>
      </c>
    </row>
    <row r="193" spans="6:18" x14ac:dyDescent="0.25">
      <c r="F193"/>
      <c r="G193" s="20"/>
      <c r="H193" s="21"/>
      <c r="K193" s="23"/>
      <c r="L193" t="str">
        <f>IF(K193="","",IFERROR(_xlfn.XLOOKUP(K193,verfvoorraad!C:C,verfvoorraad!B:B),IFERROR(_xlfn.XLOOKUP(IF(LEFT(UPPER(K193),4)="REV-","REV-"&amp;VALUE(MID(K193,5,99)),IF(LEN(K193)=5,LEFT(K193,2)&amp;"."&amp;RIGHT(K193,3),K193)),verfvoorraad!E:E,verfvoorraad!B:B),"Niet gevonden")))</f>
        <v/>
      </c>
      <c r="M193" t="str">
        <f>IF(K193="","",IFERROR(_xlfn.XLOOKUP(K193,verfvoorraad!C:C,verfvoorraad!D:D),IFERROR(_xlfn.XLOOKUP(IF(LEFT(UPPER(K193),4)="REV-","REV-"&amp;VALUE(MID(K193,5,99)),IF(LEN(K193)=5,LEFT(K193,2)&amp;"."&amp;RIGHT(K193,3),K193)),verfvoorraad!E:E,verfvoorraad!D:D),"Niet gevonden")))</f>
        <v/>
      </c>
      <c r="N193" t="str">
        <f>IF(K193="","",IFERROR(_xlfn.XLOOKUP(K193,verfvoorraad!C:C,verfvoorraad!E:E),IFERROR(_xlfn.XLOOKUP(IF(LEFT(UPPER(K193),4)="REV-","REV-"&amp;VALUE(MID(K193,5,99)),IF(LEN(K193)=5,LEFT(K193,2)&amp;"."&amp;RIGHT(K193,3),K193)),verfvoorraad!E:E,verfvoorraad!E:E),"Niet gevonden")))</f>
        <v/>
      </c>
      <c r="O193" t="str">
        <f>IF(K193="","",IFERROR(_xlfn.XLOOKUP(K193,verfvoorraad!C:C,verfvoorraad!F:F),IFERROR(_xlfn.XLOOKUP(IF(LEFT(UPPER(K193),4)="REV-","REV-"&amp;VALUE(MID(K193,5,99)),IF(LEN(K193)=5,LEFT(K193,2)&amp;"."&amp;RIGHT(K193,3),K193)),verfvoorraad!E:E,verfvoorraad!F:F),"Niet gevonden")))</f>
        <v/>
      </c>
      <c r="P193" t="str">
        <f>IF(K193="","",IFERROR(_xlfn.XLOOKUP(K193,verfvoorraad!C:C,verfvoorraad!G:G),IFERROR(_xlfn.XLOOKUP(IF(LEFT(UPPER(K193),4)="REV-","REV-"&amp;VALUE(MID(K193,5,99)),IF(LEN(K193)=5,LEFT(K193,2)&amp;"."&amp;RIGHT(K193,3),K193)),verfvoorraad!E:E,verfvoorraad!G:G),"Niet gevonden")))</f>
        <v/>
      </c>
      <c r="Q193" t="str">
        <f t="shared" si="4"/>
        <v/>
      </c>
      <c r="R193" t="str">
        <f t="shared" si="5"/>
        <v/>
      </c>
    </row>
    <row r="194" spans="6:18" x14ac:dyDescent="0.25">
      <c r="F194"/>
      <c r="G194" s="20"/>
      <c r="H194" s="21"/>
      <c r="K194" s="23"/>
      <c r="L194" t="str">
        <f>IF(K194="","",IFERROR(_xlfn.XLOOKUP(K194,verfvoorraad!C:C,verfvoorraad!B:B),IFERROR(_xlfn.XLOOKUP(IF(LEFT(UPPER(K194),4)="REV-","REV-"&amp;VALUE(MID(K194,5,99)),IF(LEN(K194)=5,LEFT(K194,2)&amp;"."&amp;RIGHT(K194,3),K194)),verfvoorraad!E:E,verfvoorraad!B:B),"Niet gevonden")))</f>
        <v/>
      </c>
      <c r="M194" t="str">
        <f>IF(K194="","",IFERROR(_xlfn.XLOOKUP(K194,verfvoorraad!C:C,verfvoorraad!D:D),IFERROR(_xlfn.XLOOKUP(IF(LEFT(UPPER(K194),4)="REV-","REV-"&amp;VALUE(MID(K194,5,99)),IF(LEN(K194)=5,LEFT(K194,2)&amp;"."&amp;RIGHT(K194,3),K194)),verfvoorraad!E:E,verfvoorraad!D:D),"Niet gevonden")))</f>
        <v/>
      </c>
      <c r="N194" t="str">
        <f>IF(K194="","",IFERROR(_xlfn.XLOOKUP(K194,verfvoorraad!C:C,verfvoorraad!E:E),IFERROR(_xlfn.XLOOKUP(IF(LEFT(UPPER(K194),4)="REV-","REV-"&amp;VALUE(MID(K194,5,99)),IF(LEN(K194)=5,LEFT(K194,2)&amp;"."&amp;RIGHT(K194,3),K194)),verfvoorraad!E:E,verfvoorraad!E:E),"Niet gevonden")))</f>
        <v/>
      </c>
      <c r="O194" t="str">
        <f>IF(K194="","",IFERROR(_xlfn.XLOOKUP(K194,verfvoorraad!C:C,verfvoorraad!F:F),IFERROR(_xlfn.XLOOKUP(IF(LEFT(UPPER(K194),4)="REV-","REV-"&amp;VALUE(MID(K194,5,99)),IF(LEN(K194)=5,LEFT(K194,2)&amp;"."&amp;RIGHT(K194,3),K194)),verfvoorraad!E:E,verfvoorraad!F:F),"Niet gevonden")))</f>
        <v/>
      </c>
      <c r="P194" t="str">
        <f>IF(K194="","",IFERROR(_xlfn.XLOOKUP(K194,verfvoorraad!C:C,verfvoorraad!G:G),IFERROR(_xlfn.XLOOKUP(IF(LEFT(UPPER(K194),4)="REV-","REV-"&amp;VALUE(MID(K194,5,99)),IF(LEN(K194)=5,LEFT(K194,2)&amp;"."&amp;RIGHT(K194,3),K194)),verfvoorraad!E:E,verfvoorraad!G:G),"Niet gevonden")))</f>
        <v/>
      </c>
      <c r="Q194" t="str">
        <f t="shared" si="4"/>
        <v/>
      </c>
      <c r="R194" t="str">
        <f t="shared" si="5"/>
        <v/>
      </c>
    </row>
    <row r="195" spans="6:18" x14ac:dyDescent="0.25">
      <c r="F195"/>
      <c r="G195" s="20"/>
      <c r="H195" s="21"/>
      <c r="K195" s="23"/>
      <c r="L195" t="str">
        <f>IF(K195="","",IFERROR(_xlfn.XLOOKUP(K195,verfvoorraad!C:C,verfvoorraad!B:B),IFERROR(_xlfn.XLOOKUP(IF(LEFT(UPPER(K195),4)="REV-","REV-"&amp;VALUE(MID(K195,5,99)),IF(LEN(K195)=5,LEFT(K195,2)&amp;"."&amp;RIGHT(K195,3),K195)),verfvoorraad!E:E,verfvoorraad!B:B),"Niet gevonden")))</f>
        <v/>
      </c>
      <c r="M195" t="str">
        <f>IF(K195="","",IFERROR(_xlfn.XLOOKUP(K195,verfvoorraad!C:C,verfvoorraad!D:D),IFERROR(_xlfn.XLOOKUP(IF(LEFT(UPPER(K195),4)="REV-","REV-"&amp;VALUE(MID(K195,5,99)),IF(LEN(K195)=5,LEFT(K195,2)&amp;"."&amp;RIGHT(K195,3),K195)),verfvoorraad!E:E,verfvoorraad!D:D),"Niet gevonden")))</f>
        <v/>
      </c>
      <c r="N195" t="str">
        <f>IF(K195="","",IFERROR(_xlfn.XLOOKUP(K195,verfvoorraad!C:C,verfvoorraad!E:E),IFERROR(_xlfn.XLOOKUP(IF(LEFT(UPPER(K195),4)="REV-","REV-"&amp;VALUE(MID(K195,5,99)),IF(LEN(K195)=5,LEFT(K195,2)&amp;"."&amp;RIGHT(K195,3),K195)),verfvoorraad!E:E,verfvoorraad!E:E),"Niet gevonden")))</f>
        <v/>
      </c>
      <c r="O195" t="str">
        <f>IF(K195="","",IFERROR(_xlfn.XLOOKUP(K195,verfvoorraad!C:C,verfvoorraad!F:F),IFERROR(_xlfn.XLOOKUP(IF(LEFT(UPPER(K195),4)="REV-","REV-"&amp;VALUE(MID(K195,5,99)),IF(LEN(K195)=5,LEFT(K195,2)&amp;"."&amp;RIGHT(K195,3),K195)),verfvoorraad!E:E,verfvoorraad!F:F),"Niet gevonden")))</f>
        <v/>
      </c>
      <c r="P195" t="str">
        <f>IF(K195="","",IFERROR(_xlfn.XLOOKUP(K195,verfvoorraad!C:C,verfvoorraad!G:G),IFERROR(_xlfn.XLOOKUP(IF(LEFT(UPPER(K195),4)="REV-","REV-"&amp;VALUE(MID(K195,5,99)),IF(LEN(K195)=5,LEFT(K195,2)&amp;"."&amp;RIGHT(K195,3),K195)),verfvoorraad!E:E,verfvoorraad!G:G),"Niet gevonden")))</f>
        <v/>
      </c>
      <c r="Q195" t="str">
        <f t="shared" si="4"/>
        <v/>
      </c>
      <c r="R195" t="str">
        <f t="shared" si="5"/>
        <v/>
      </c>
    </row>
    <row r="196" spans="6:18" x14ac:dyDescent="0.25">
      <c r="F196"/>
      <c r="G196" s="20"/>
      <c r="H196" s="21"/>
      <c r="K196" s="23"/>
      <c r="L196" t="str">
        <f>IF(K196="","",IFERROR(_xlfn.XLOOKUP(K196,verfvoorraad!C:C,verfvoorraad!B:B),IFERROR(_xlfn.XLOOKUP(IF(LEFT(UPPER(K196),4)="REV-","REV-"&amp;VALUE(MID(K196,5,99)),IF(LEN(K196)=5,LEFT(K196,2)&amp;"."&amp;RIGHT(K196,3),K196)),verfvoorraad!E:E,verfvoorraad!B:B),"Niet gevonden")))</f>
        <v/>
      </c>
      <c r="M196" t="str">
        <f>IF(K196="","",IFERROR(_xlfn.XLOOKUP(K196,verfvoorraad!C:C,verfvoorraad!D:D),IFERROR(_xlfn.XLOOKUP(IF(LEFT(UPPER(K196),4)="REV-","REV-"&amp;VALUE(MID(K196,5,99)),IF(LEN(K196)=5,LEFT(K196,2)&amp;"."&amp;RIGHT(K196,3),K196)),verfvoorraad!E:E,verfvoorraad!D:D),"Niet gevonden")))</f>
        <v/>
      </c>
      <c r="N196" t="str">
        <f>IF(K196="","",IFERROR(_xlfn.XLOOKUP(K196,verfvoorraad!C:C,verfvoorraad!E:E),IFERROR(_xlfn.XLOOKUP(IF(LEFT(UPPER(K196),4)="REV-","REV-"&amp;VALUE(MID(K196,5,99)),IF(LEN(K196)=5,LEFT(K196,2)&amp;"."&amp;RIGHT(K196,3),K196)),verfvoorraad!E:E,verfvoorraad!E:E),"Niet gevonden")))</f>
        <v/>
      </c>
      <c r="O196" t="str">
        <f>IF(K196="","",IFERROR(_xlfn.XLOOKUP(K196,verfvoorraad!C:C,verfvoorraad!F:F),IFERROR(_xlfn.XLOOKUP(IF(LEFT(UPPER(K196),4)="REV-","REV-"&amp;VALUE(MID(K196,5,99)),IF(LEN(K196)=5,LEFT(K196,2)&amp;"."&amp;RIGHT(K196,3),K196)),verfvoorraad!E:E,verfvoorraad!F:F),"Niet gevonden")))</f>
        <v/>
      </c>
      <c r="P196" t="str">
        <f>IF(K196="","",IFERROR(_xlfn.XLOOKUP(K196,verfvoorraad!C:C,verfvoorraad!G:G),IFERROR(_xlfn.XLOOKUP(IF(LEFT(UPPER(K196),4)="REV-","REV-"&amp;VALUE(MID(K196,5,99)),IF(LEN(K196)=5,LEFT(K196,2)&amp;"."&amp;RIGHT(K196,3),K196)),verfvoorraad!E:E,verfvoorraad!G:G),"Niet gevonden")))</f>
        <v/>
      </c>
      <c r="Q196" t="str">
        <f t="shared" si="4"/>
        <v/>
      </c>
      <c r="R196" t="str">
        <f t="shared" si="5"/>
        <v/>
      </c>
    </row>
    <row r="197" spans="6:18" x14ac:dyDescent="0.25">
      <c r="F197"/>
      <c r="G197" s="20"/>
      <c r="H197" s="21"/>
      <c r="K197" s="23"/>
      <c r="L197" t="str">
        <f>IF(K197="","",IFERROR(_xlfn.XLOOKUP(K197,verfvoorraad!C:C,verfvoorraad!B:B),IFERROR(_xlfn.XLOOKUP(IF(LEFT(UPPER(K197),4)="REV-","REV-"&amp;VALUE(MID(K197,5,99)),IF(LEN(K197)=5,LEFT(K197,2)&amp;"."&amp;RIGHT(K197,3),K197)),verfvoorraad!E:E,verfvoorraad!B:B),"Niet gevonden")))</f>
        <v/>
      </c>
      <c r="M197" t="str">
        <f>IF(K197="","",IFERROR(_xlfn.XLOOKUP(K197,verfvoorraad!C:C,verfvoorraad!D:D),IFERROR(_xlfn.XLOOKUP(IF(LEFT(UPPER(K197),4)="REV-","REV-"&amp;VALUE(MID(K197,5,99)),IF(LEN(K197)=5,LEFT(K197,2)&amp;"."&amp;RIGHT(K197,3),K197)),verfvoorraad!E:E,verfvoorraad!D:D),"Niet gevonden")))</f>
        <v/>
      </c>
      <c r="N197" t="str">
        <f>IF(K197="","",IFERROR(_xlfn.XLOOKUP(K197,verfvoorraad!C:C,verfvoorraad!E:E),IFERROR(_xlfn.XLOOKUP(IF(LEFT(UPPER(K197),4)="REV-","REV-"&amp;VALUE(MID(K197,5,99)),IF(LEN(K197)=5,LEFT(K197,2)&amp;"."&amp;RIGHT(K197,3),K197)),verfvoorraad!E:E,verfvoorraad!E:E),"Niet gevonden")))</f>
        <v/>
      </c>
      <c r="O197" t="str">
        <f>IF(K197="","",IFERROR(_xlfn.XLOOKUP(K197,verfvoorraad!C:C,verfvoorraad!F:F),IFERROR(_xlfn.XLOOKUP(IF(LEFT(UPPER(K197),4)="REV-","REV-"&amp;VALUE(MID(K197,5,99)),IF(LEN(K197)=5,LEFT(K197,2)&amp;"."&amp;RIGHT(K197,3),K197)),verfvoorraad!E:E,verfvoorraad!F:F),"Niet gevonden")))</f>
        <v/>
      </c>
      <c r="P197" t="str">
        <f>IF(K197="","",IFERROR(_xlfn.XLOOKUP(K197,verfvoorraad!C:C,verfvoorraad!G:G),IFERROR(_xlfn.XLOOKUP(IF(LEFT(UPPER(K197),4)="REV-","REV-"&amp;VALUE(MID(K197,5,99)),IF(LEN(K197)=5,LEFT(K197,2)&amp;"."&amp;RIGHT(K197,3),K197)),verfvoorraad!E:E,verfvoorraad!G:G),"Niet gevonden")))</f>
        <v/>
      </c>
      <c r="Q197" t="str">
        <f t="shared" si="4"/>
        <v/>
      </c>
      <c r="R197" t="str">
        <f t="shared" si="5"/>
        <v/>
      </c>
    </row>
    <row r="198" spans="6:18" x14ac:dyDescent="0.25">
      <c r="F198"/>
      <c r="G198" s="20"/>
      <c r="H198" s="21"/>
      <c r="K198" s="23"/>
      <c r="L198" t="str">
        <f>IF(K198="","",IFERROR(_xlfn.XLOOKUP(K198,verfvoorraad!C:C,verfvoorraad!B:B),IFERROR(_xlfn.XLOOKUP(IF(LEFT(UPPER(K198),4)="REV-","REV-"&amp;VALUE(MID(K198,5,99)),IF(LEN(K198)=5,LEFT(K198,2)&amp;"."&amp;RIGHT(K198,3),K198)),verfvoorraad!E:E,verfvoorraad!B:B),"Niet gevonden")))</f>
        <v/>
      </c>
      <c r="M198" t="str">
        <f>IF(K198="","",IFERROR(_xlfn.XLOOKUP(K198,verfvoorraad!C:C,verfvoorraad!D:D),IFERROR(_xlfn.XLOOKUP(IF(LEFT(UPPER(K198),4)="REV-","REV-"&amp;VALUE(MID(K198,5,99)),IF(LEN(K198)=5,LEFT(K198,2)&amp;"."&amp;RIGHT(K198,3),K198)),verfvoorraad!E:E,verfvoorraad!D:D),"Niet gevonden")))</f>
        <v/>
      </c>
      <c r="N198" t="str">
        <f>IF(K198="","",IFERROR(_xlfn.XLOOKUP(K198,verfvoorraad!C:C,verfvoorraad!E:E),IFERROR(_xlfn.XLOOKUP(IF(LEFT(UPPER(K198),4)="REV-","REV-"&amp;VALUE(MID(K198,5,99)),IF(LEN(K198)=5,LEFT(K198,2)&amp;"."&amp;RIGHT(K198,3),K198)),verfvoorraad!E:E,verfvoorraad!E:E),"Niet gevonden")))</f>
        <v/>
      </c>
      <c r="O198" t="str">
        <f>IF(K198="","",IFERROR(_xlfn.XLOOKUP(K198,verfvoorraad!C:C,verfvoorraad!F:F),IFERROR(_xlfn.XLOOKUP(IF(LEFT(UPPER(K198),4)="REV-","REV-"&amp;VALUE(MID(K198,5,99)),IF(LEN(K198)=5,LEFT(K198,2)&amp;"."&amp;RIGHT(K198,3),K198)),verfvoorraad!E:E,verfvoorraad!F:F),"Niet gevonden")))</f>
        <v/>
      </c>
      <c r="P198" t="str">
        <f>IF(K198="","",IFERROR(_xlfn.XLOOKUP(K198,verfvoorraad!C:C,verfvoorraad!G:G),IFERROR(_xlfn.XLOOKUP(IF(LEFT(UPPER(K198),4)="REV-","REV-"&amp;VALUE(MID(K198,5,99)),IF(LEN(K198)=5,LEFT(K198,2)&amp;"."&amp;RIGHT(K198,3),K198)),verfvoorraad!E:E,verfvoorraad!G:G),"Niet gevonden")))</f>
        <v/>
      </c>
      <c r="Q198" t="str">
        <f t="shared" si="4"/>
        <v/>
      </c>
      <c r="R198" t="str">
        <f t="shared" si="5"/>
        <v/>
      </c>
    </row>
    <row r="199" spans="6:18" x14ac:dyDescent="0.25">
      <c r="F199"/>
      <c r="G199" s="20"/>
      <c r="H199" s="21"/>
      <c r="K199" s="23"/>
      <c r="L199" t="str">
        <f>IF(K199="","",IFERROR(_xlfn.XLOOKUP(K199,verfvoorraad!C:C,verfvoorraad!B:B),IFERROR(_xlfn.XLOOKUP(IF(LEFT(UPPER(K199),4)="REV-","REV-"&amp;VALUE(MID(K199,5,99)),IF(LEN(K199)=5,LEFT(K199,2)&amp;"."&amp;RIGHT(K199,3),K199)),verfvoorraad!E:E,verfvoorraad!B:B),"Niet gevonden")))</f>
        <v/>
      </c>
      <c r="M199" t="str">
        <f>IF(K199="","",IFERROR(_xlfn.XLOOKUP(K199,verfvoorraad!C:C,verfvoorraad!D:D),IFERROR(_xlfn.XLOOKUP(IF(LEFT(UPPER(K199),4)="REV-","REV-"&amp;VALUE(MID(K199,5,99)),IF(LEN(K199)=5,LEFT(K199,2)&amp;"."&amp;RIGHT(K199,3),K199)),verfvoorraad!E:E,verfvoorraad!D:D),"Niet gevonden")))</f>
        <v/>
      </c>
      <c r="N199" t="str">
        <f>IF(K199="","",IFERROR(_xlfn.XLOOKUP(K199,verfvoorraad!C:C,verfvoorraad!E:E),IFERROR(_xlfn.XLOOKUP(IF(LEFT(UPPER(K199),4)="REV-","REV-"&amp;VALUE(MID(K199,5,99)),IF(LEN(K199)=5,LEFT(K199,2)&amp;"."&amp;RIGHT(K199,3),K199)),verfvoorraad!E:E,verfvoorraad!E:E),"Niet gevonden")))</f>
        <v/>
      </c>
      <c r="O199" t="str">
        <f>IF(K199="","",IFERROR(_xlfn.XLOOKUP(K199,verfvoorraad!C:C,verfvoorraad!F:F),IFERROR(_xlfn.XLOOKUP(IF(LEFT(UPPER(K199),4)="REV-","REV-"&amp;VALUE(MID(K199,5,99)),IF(LEN(K199)=5,LEFT(K199,2)&amp;"."&amp;RIGHT(K199,3),K199)),verfvoorraad!E:E,verfvoorraad!F:F),"Niet gevonden")))</f>
        <v/>
      </c>
      <c r="P199" t="str">
        <f>IF(K199="","",IFERROR(_xlfn.XLOOKUP(K199,verfvoorraad!C:C,verfvoorraad!G:G),IFERROR(_xlfn.XLOOKUP(IF(LEFT(UPPER(K199),4)="REV-","REV-"&amp;VALUE(MID(K199,5,99)),IF(LEN(K199)=5,LEFT(K199,2)&amp;"."&amp;RIGHT(K199,3),K199)),verfvoorraad!E:E,verfvoorraad!G:G),"Niet gevonden")))</f>
        <v/>
      </c>
      <c r="Q199" t="str">
        <f t="shared" si="4"/>
        <v/>
      </c>
      <c r="R199" t="str">
        <f t="shared" si="5"/>
        <v/>
      </c>
    </row>
    <row r="200" spans="6:18" x14ac:dyDescent="0.25">
      <c r="F200"/>
      <c r="G200" s="20"/>
      <c r="H200" s="21"/>
      <c r="K200" s="23"/>
      <c r="L200" t="str">
        <f>IF(K200="","",IFERROR(_xlfn.XLOOKUP(K200,verfvoorraad!C:C,verfvoorraad!B:B),IFERROR(_xlfn.XLOOKUP(IF(LEFT(UPPER(K200),4)="REV-","REV-"&amp;VALUE(MID(K200,5,99)),IF(LEN(K200)=5,LEFT(K200,2)&amp;"."&amp;RIGHT(K200,3),K200)),verfvoorraad!E:E,verfvoorraad!B:B),"Niet gevonden")))</f>
        <v/>
      </c>
      <c r="M200" t="str">
        <f>IF(K200="","",IFERROR(_xlfn.XLOOKUP(K200,verfvoorraad!C:C,verfvoorraad!D:D),IFERROR(_xlfn.XLOOKUP(IF(LEFT(UPPER(K200),4)="REV-","REV-"&amp;VALUE(MID(K200,5,99)),IF(LEN(K200)=5,LEFT(K200,2)&amp;"."&amp;RIGHT(K200,3),K200)),verfvoorraad!E:E,verfvoorraad!D:D),"Niet gevonden")))</f>
        <v/>
      </c>
      <c r="N200" t="str">
        <f>IF(K200="","",IFERROR(_xlfn.XLOOKUP(K200,verfvoorraad!C:C,verfvoorraad!E:E),IFERROR(_xlfn.XLOOKUP(IF(LEFT(UPPER(K200),4)="REV-","REV-"&amp;VALUE(MID(K200,5,99)),IF(LEN(K200)=5,LEFT(K200,2)&amp;"."&amp;RIGHT(K200,3),K200)),verfvoorraad!E:E,verfvoorraad!E:E),"Niet gevonden")))</f>
        <v/>
      </c>
      <c r="O200" t="str">
        <f>IF(K200="","",IFERROR(_xlfn.XLOOKUP(K200,verfvoorraad!C:C,verfvoorraad!F:F),IFERROR(_xlfn.XLOOKUP(IF(LEFT(UPPER(K200),4)="REV-","REV-"&amp;VALUE(MID(K200,5,99)),IF(LEN(K200)=5,LEFT(K200,2)&amp;"."&amp;RIGHT(K200,3),K200)),verfvoorraad!E:E,verfvoorraad!F:F),"Niet gevonden")))</f>
        <v/>
      </c>
      <c r="P200" t="str">
        <f>IF(K200="","",IFERROR(_xlfn.XLOOKUP(K200,verfvoorraad!C:C,verfvoorraad!G:G),IFERROR(_xlfn.XLOOKUP(IF(LEFT(UPPER(K200),4)="REV-","REV-"&amp;VALUE(MID(K200,5,99)),IF(LEN(K200)=5,LEFT(K200,2)&amp;"."&amp;RIGHT(K200,3),K200)),verfvoorraad!E:E,verfvoorraad!G:G),"Niet gevonden")))</f>
        <v/>
      </c>
      <c r="Q200" t="str">
        <f t="shared" si="4"/>
        <v/>
      </c>
      <c r="R200" t="str">
        <f t="shared" si="5"/>
        <v/>
      </c>
    </row>
    <row r="201" spans="6:18" x14ac:dyDescent="0.25">
      <c r="F201"/>
      <c r="G201" s="20"/>
      <c r="H201" s="21"/>
      <c r="K201" s="23"/>
      <c r="L201" t="str">
        <f>IF(K201="","",IFERROR(_xlfn.XLOOKUP(K201,verfvoorraad!C:C,verfvoorraad!B:B),IFERROR(_xlfn.XLOOKUP(IF(LEFT(UPPER(K201),4)="REV-","REV-"&amp;VALUE(MID(K201,5,99)),IF(LEN(K201)=5,LEFT(K201,2)&amp;"."&amp;RIGHT(K201,3),K201)),verfvoorraad!E:E,verfvoorraad!B:B),"Niet gevonden")))</f>
        <v/>
      </c>
      <c r="M201" t="str">
        <f>IF(K201="","",IFERROR(_xlfn.XLOOKUP(K201,verfvoorraad!C:C,verfvoorraad!D:D),IFERROR(_xlfn.XLOOKUP(IF(LEFT(UPPER(K201),4)="REV-","REV-"&amp;VALUE(MID(K201,5,99)),IF(LEN(K201)=5,LEFT(K201,2)&amp;"."&amp;RIGHT(K201,3),K201)),verfvoorraad!E:E,verfvoorraad!D:D),"Niet gevonden")))</f>
        <v/>
      </c>
      <c r="N201" t="str">
        <f>IF(K201="","",IFERROR(_xlfn.XLOOKUP(K201,verfvoorraad!C:C,verfvoorraad!E:E),IFERROR(_xlfn.XLOOKUP(IF(LEFT(UPPER(K201),4)="REV-","REV-"&amp;VALUE(MID(K201,5,99)),IF(LEN(K201)=5,LEFT(K201,2)&amp;"."&amp;RIGHT(K201,3),K201)),verfvoorraad!E:E,verfvoorraad!E:E),"Niet gevonden")))</f>
        <v/>
      </c>
      <c r="O201" t="str">
        <f>IF(K201="","",IFERROR(_xlfn.XLOOKUP(K201,verfvoorraad!C:C,verfvoorraad!F:F),IFERROR(_xlfn.XLOOKUP(IF(LEFT(UPPER(K201),4)="REV-","REV-"&amp;VALUE(MID(K201,5,99)),IF(LEN(K201)=5,LEFT(K201,2)&amp;"."&amp;RIGHT(K201,3),K201)),verfvoorraad!E:E,verfvoorraad!F:F),"Niet gevonden")))</f>
        <v/>
      </c>
      <c r="P201" t="str">
        <f>IF(K201="","",IFERROR(_xlfn.XLOOKUP(K201,verfvoorraad!C:C,verfvoorraad!G:G),IFERROR(_xlfn.XLOOKUP(IF(LEFT(UPPER(K201),4)="REV-","REV-"&amp;VALUE(MID(K201,5,99)),IF(LEN(K201)=5,LEFT(K201,2)&amp;"."&amp;RIGHT(K201,3),K201)),verfvoorraad!E:E,verfvoorraad!G:G),"Niet gevonden")))</f>
        <v/>
      </c>
      <c r="Q201" t="str">
        <f t="shared" si="4"/>
        <v/>
      </c>
      <c r="R201" t="str">
        <f t="shared" si="5"/>
        <v/>
      </c>
    </row>
    <row r="202" spans="6:18" x14ac:dyDescent="0.25">
      <c r="F202"/>
      <c r="G202" s="20"/>
      <c r="H202" s="21"/>
      <c r="K202" s="23"/>
      <c r="L202" t="str">
        <f>IF(K202="","",IFERROR(_xlfn.XLOOKUP(K202,verfvoorraad!C:C,verfvoorraad!B:B),IFERROR(_xlfn.XLOOKUP(IF(LEFT(UPPER(K202),4)="REV-","REV-"&amp;VALUE(MID(K202,5,99)),IF(LEN(K202)=5,LEFT(K202,2)&amp;"."&amp;RIGHT(K202,3),K202)),verfvoorraad!E:E,verfvoorraad!B:B),"Niet gevonden")))</f>
        <v/>
      </c>
      <c r="M202" t="str">
        <f>IF(K202="","",IFERROR(_xlfn.XLOOKUP(K202,verfvoorraad!C:C,verfvoorraad!D:D),IFERROR(_xlfn.XLOOKUP(IF(LEFT(UPPER(K202),4)="REV-","REV-"&amp;VALUE(MID(K202,5,99)),IF(LEN(K202)=5,LEFT(K202,2)&amp;"."&amp;RIGHT(K202,3),K202)),verfvoorraad!E:E,verfvoorraad!D:D),"Niet gevonden")))</f>
        <v/>
      </c>
      <c r="N202" t="str">
        <f>IF(K202="","",IFERROR(_xlfn.XLOOKUP(K202,verfvoorraad!C:C,verfvoorraad!E:E),IFERROR(_xlfn.XLOOKUP(IF(LEFT(UPPER(K202),4)="REV-","REV-"&amp;VALUE(MID(K202,5,99)),IF(LEN(K202)=5,LEFT(K202,2)&amp;"."&amp;RIGHT(K202,3),K202)),verfvoorraad!E:E,verfvoorraad!E:E),"Niet gevonden")))</f>
        <v/>
      </c>
      <c r="O202" t="str">
        <f>IF(K202="","",IFERROR(_xlfn.XLOOKUP(K202,verfvoorraad!C:C,verfvoorraad!F:F),IFERROR(_xlfn.XLOOKUP(IF(LEFT(UPPER(K202),4)="REV-","REV-"&amp;VALUE(MID(K202,5,99)),IF(LEN(K202)=5,LEFT(K202,2)&amp;"."&amp;RIGHT(K202,3),K202)),verfvoorraad!E:E,verfvoorraad!F:F),"Niet gevonden")))</f>
        <v/>
      </c>
      <c r="P202" t="str">
        <f>IF(K202="","",IFERROR(_xlfn.XLOOKUP(K202,verfvoorraad!C:C,verfvoorraad!G:G),IFERROR(_xlfn.XLOOKUP(IF(LEFT(UPPER(K202),4)="REV-","REV-"&amp;VALUE(MID(K202,5,99)),IF(LEN(K202)=5,LEFT(K202,2)&amp;"."&amp;RIGHT(K202,3),K202)),verfvoorraad!E:E,verfvoorraad!G:G),"Niet gevonden")))</f>
        <v/>
      </c>
      <c r="Q202" t="str">
        <f t="shared" si="4"/>
        <v/>
      </c>
      <c r="R202" t="str">
        <f t="shared" si="5"/>
        <v/>
      </c>
    </row>
    <row r="203" spans="6:18" x14ac:dyDescent="0.25">
      <c r="F203"/>
      <c r="G203" s="20"/>
      <c r="H203" s="21"/>
      <c r="K203" s="23"/>
      <c r="L203" t="str">
        <f>IF(K203="","",IFERROR(_xlfn.XLOOKUP(K203,verfvoorraad!C:C,verfvoorraad!B:B),IFERROR(_xlfn.XLOOKUP(IF(LEFT(UPPER(K203),4)="REV-","REV-"&amp;VALUE(MID(K203,5,99)),IF(LEN(K203)=5,LEFT(K203,2)&amp;"."&amp;RIGHT(K203,3),K203)),verfvoorraad!E:E,verfvoorraad!B:B),"Niet gevonden")))</f>
        <v/>
      </c>
      <c r="M203" t="str">
        <f>IF(K203="","",IFERROR(_xlfn.XLOOKUP(K203,verfvoorraad!C:C,verfvoorraad!D:D),IFERROR(_xlfn.XLOOKUP(IF(LEFT(UPPER(K203),4)="REV-","REV-"&amp;VALUE(MID(K203,5,99)),IF(LEN(K203)=5,LEFT(K203,2)&amp;"."&amp;RIGHT(K203,3),K203)),verfvoorraad!E:E,verfvoorraad!D:D),"Niet gevonden")))</f>
        <v/>
      </c>
      <c r="N203" t="str">
        <f>IF(K203="","",IFERROR(_xlfn.XLOOKUP(K203,verfvoorraad!C:C,verfvoorraad!E:E),IFERROR(_xlfn.XLOOKUP(IF(LEFT(UPPER(K203),4)="REV-","REV-"&amp;VALUE(MID(K203,5,99)),IF(LEN(K203)=5,LEFT(K203,2)&amp;"."&amp;RIGHT(K203,3),K203)),verfvoorraad!E:E,verfvoorraad!E:E),"Niet gevonden")))</f>
        <v/>
      </c>
      <c r="O203" t="str">
        <f>IF(K203="","",IFERROR(_xlfn.XLOOKUP(K203,verfvoorraad!C:C,verfvoorraad!F:F),IFERROR(_xlfn.XLOOKUP(IF(LEFT(UPPER(K203),4)="REV-","REV-"&amp;VALUE(MID(K203,5,99)),IF(LEN(K203)=5,LEFT(K203,2)&amp;"."&amp;RIGHT(K203,3),K203)),verfvoorraad!E:E,verfvoorraad!F:F),"Niet gevonden")))</f>
        <v/>
      </c>
      <c r="P203" t="str">
        <f>IF(K203="","",IFERROR(_xlfn.XLOOKUP(K203,verfvoorraad!C:C,verfvoorraad!G:G),IFERROR(_xlfn.XLOOKUP(IF(LEFT(UPPER(K203),4)="REV-","REV-"&amp;VALUE(MID(K203,5,99)),IF(LEN(K203)=5,LEFT(K203,2)&amp;"."&amp;RIGHT(K203,3),K203)),verfvoorraad!E:E,verfvoorraad!G:G),"Niet gevonden")))</f>
        <v/>
      </c>
      <c r="Q203" t="str">
        <f t="shared" si="4"/>
        <v/>
      </c>
      <c r="R203" t="str">
        <f t="shared" si="5"/>
        <v/>
      </c>
    </row>
    <row r="204" spans="6:18" x14ac:dyDescent="0.25">
      <c r="F204"/>
      <c r="G204" s="20"/>
      <c r="H204" s="21"/>
      <c r="K204" s="23"/>
      <c r="L204" t="str">
        <f>IF(K204="","",IFERROR(_xlfn.XLOOKUP(K204,verfvoorraad!C:C,verfvoorraad!B:B),IFERROR(_xlfn.XLOOKUP(IF(LEFT(UPPER(K204),4)="REV-","REV-"&amp;VALUE(MID(K204,5,99)),IF(LEN(K204)=5,LEFT(K204,2)&amp;"."&amp;RIGHT(K204,3),K204)),verfvoorraad!E:E,verfvoorraad!B:B),"Niet gevonden")))</f>
        <v/>
      </c>
      <c r="M204" t="str">
        <f>IF(K204="","",IFERROR(_xlfn.XLOOKUP(K204,verfvoorraad!C:C,verfvoorraad!D:D),IFERROR(_xlfn.XLOOKUP(IF(LEFT(UPPER(K204),4)="REV-","REV-"&amp;VALUE(MID(K204,5,99)),IF(LEN(K204)=5,LEFT(K204,2)&amp;"."&amp;RIGHT(K204,3),K204)),verfvoorraad!E:E,verfvoorraad!D:D),"Niet gevonden")))</f>
        <v/>
      </c>
      <c r="N204" t="str">
        <f>IF(K204="","",IFERROR(_xlfn.XLOOKUP(K204,verfvoorraad!C:C,verfvoorraad!E:E),IFERROR(_xlfn.XLOOKUP(IF(LEFT(UPPER(K204),4)="REV-","REV-"&amp;VALUE(MID(K204,5,99)),IF(LEN(K204)=5,LEFT(K204,2)&amp;"."&amp;RIGHT(K204,3),K204)),verfvoorraad!E:E,verfvoorraad!E:E),"Niet gevonden")))</f>
        <v/>
      </c>
      <c r="O204" t="str">
        <f>IF(K204="","",IFERROR(_xlfn.XLOOKUP(K204,verfvoorraad!C:C,verfvoorraad!F:F),IFERROR(_xlfn.XLOOKUP(IF(LEFT(UPPER(K204),4)="REV-","REV-"&amp;VALUE(MID(K204,5,99)),IF(LEN(K204)=5,LEFT(K204,2)&amp;"."&amp;RIGHT(K204,3),K204)),verfvoorraad!E:E,verfvoorraad!F:F),"Niet gevonden")))</f>
        <v/>
      </c>
      <c r="P204" t="str">
        <f>IF(K204="","",IFERROR(_xlfn.XLOOKUP(K204,verfvoorraad!C:C,verfvoorraad!G:G),IFERROR(_xlfn.XLOOKUP(IF(LEFT(UPPER(K204),4)="REV-","REV-"&amp;VALUE(MID(K204,5,99)),IF(LEN(K204)=5,LEFT(K204,2)&amp;"."&amp;RIGHT(K204,3),K204)),verfvoorraad!E:E,verfvoorraad!G:G),"Niet gevonden")))</f>
        <v/>
      </c>
      <c r="Q204" t="str">
        <f t="shared" si="4"/>
        <v/>
      </c>
      <c r="R204" t="str">
        <f t="shared" si="5"/>
        <v/>
      </c>
    </row>
    <row r="205" spans="6:18" x14ac:dyDescent="0.25">
      <c r="F205"/>
      <c r="G205" s="20"/>
      <c r="H205" s="21"/>
      <c r="K205" s="23"/>
      <c r="L205" t="str">
        <f>IF(K205="","",IFERROR(_xlfn.XLOOKUP(K205,verfvoorraad!C:C,verfvoorraad!B:B),IFERROR(_xlfn.XLOOKUP(IF(LEFT(UPPER(K205),4)="REV-","REV-"&amp;VALUE(MID(K205,5,99)),IF(LEN(K205)=5,LEFT(K205,2)&amp;"."&amp;RIGHT(K205,3),K205)),verfvoorraad!E:E,verfvoorraad!B:B),"Niet gevonden")))</f>
        <v/>
      </c>
      <c r="M205" t="str">
        <f>IF(K205="","",IFERROR(_xlfn.XLOOKUP(K205,verfvoorraad!C:C,verfvoorraad!D:D),IFERROR(_xlfn.XLOOKUP(IF(LEFT(UPPER(K205),4)="REV-","REV-"&amp;VALUE(MID(K205,5,99)),IF(LEN(K205)=5,LEFT(K205,2)&amp;"."&amp;RIGHT(K205,3),K205)),verfvoorraad!E:E,verfvoorraad!D:D),"Niet gevonden")))</f>
        <v/>
      </c>
      <c r="N205" t="str">
        <f>IF(K205="","",IFERROR(_xlfn.XLOOKUP(K205,verfvoorraad!C:C,verfvoorraad!E:E),IFERROR(_xlfn.XLOOKUP(IF(LEFT(UPPER(K205),4)="REV-","REV-"&amp;VALUE(MID(K205,5,99)),IF(LEN(K205)=5,LEFT(K205,2)&amp;"."&amp;RIGHT(K205,3),K205)),verfvoorraad!E:E,verfvoorraad!E:E),"Niet gevonden")))</f>
        <v/>
      </c>
      <c r="O205" t="str">
        <f>IF(K205="","",IFERROR(_xlfn.XLOOKUP(K205,verfvoorraad!C:C,verfvoorraad!F:F),IFERROR(_xlfn.XLOOKUP(IF(LEFT(UPPER(K205),4)="REV-","REV-"&amp;VALUE(MID(K205,5,99)),IF(LEN(K205)=5,LEFT(K205,2)&amp;"."&amp;RIGHT(K205,3),K205)),verfvoorraad!E:E,verfvoorraad!F:F),"Niet gevonden")))</f>
        <v/>
      </c>
      <c r="P205" t="str">
        <f>IF(K205="","",IFERROR(_xlfn.XLOOKUP(K205,verfvoorraad!C:C,verfvoorraad!G:G),IFERROR(_xlfn.XLOOKUP(IF(LEFT(UPPER(K205),4)="REV-","REV-"&amp;VALUE(MID(K205,5,99)),IF(LEN(K205)=5,LEFT(K205,2)&amp;"."&amp;RIGHT(K205,3),K205)),verfvoorraad!E:E,verfvoorraad!G:G),"Niet gevonden")))</f>
        <v/>
      </c>
      <c r="Q205" t="str">
        <f t="shared" si="4"/>
        <v/>
      </c>
      <c r="R205" t="str">
        <f t="shared" si="5"/>
        <v/>
      </c>
    </row>
    <row r="206" spans="6:18" x14ac:dyDescent="0.25">
      <c r="F206"/>
      <c r="G206" s="20"/>
      <c r="H206" s="21"/>
      <c r="K206" s="23"/>
      <c r="L206" t="str">
        <f>IF(K206="","",IFERROR(_xlfn.XLOOKUP(K206,verfvoorraad!C:C,verfvoorraad!B:B),IFERROR(_xlfn.XLOOKUP(IF(LEFT(UPPER(K206),4)="REV-","REV-"&amp;VALUE(MID(K206,5,99)),IF(LEN(K206)=5,LEFT(K206,2)&amp;"."&amp;RIGHT(K206,3),K206)),verfvoorraad!E:E,verfvoorraad!B:B),"Niet gevonden")))</f>
        <v/>
      </c>
      <c r="M206" t="str">
        <f>IF(K206="","",IFERROR(_xlfn.XLOOKUP(K206,verfvoorraad!C:C,verfvoorraad!D:D),IFERROR(_xlfn.XLOOKUP(IF(LEFT(UPPER(K206),4)="REV-","REV-"&amp;VALUE(MID(K206,5,99)),IF(LEN(K206)=5,LEFT(K206,2)&amp;"."&amp;RIGHT(K206,3),K206)),verfvoorraad!E:E,verfvoorraad!D:D),"Niet gevonden")))</f>
        <v/>
      </c>
      <c r="N206" t="str">
        <f>IF(K206="","",IFERROR(_xlfn.XLOOKUP(K206,verfvoorraad!C:C,verfvoorraad!E:E),IFERROR(_xlfn.XLOOKUP(IF(LEFT(UPPER(K206),4)="REV-","REV-"&amp;VALUE(MID(K206,5,99)),IF(LEN(K206)=5,LEFT(K206,2)&amp;"."&amp;RIGHT(K206,3),K206)),verfvoorraad!E:E,verfvoorraad!E:E),"Niet gevonden")))</f>
        <v/>
      </c>
      <c r="O206" t="str">
        <f>IF(K206="","",IFERROR(_xlfn.XLOOKUP(K206,verfvoorraad!C:C,verfvoorraad!F:F),IFERROR(_xlfn.XLOOKUP(IF(LEFT(UPPER(K206),4)="REV-","REV-"&amp;VALUE(MID(K206,5,99)),IF(LEN(K206)=5,LEFT(K206,2)&amp;"."&amp;RIGHT(K206,3),K206)),verfvoorraad!E:E,verfvoorraad!F:F),"Niet gevonden")))</f>
        <v/>
      </c>
      <c r="P206" t="str">
        <f>IF(K206="","",IFERROR(_xlfn.XLOOKUP(K206,verfvoorraad!C:C,verfvoorraad!G:G),IFERROR(_xlfn.XLOOKUP(IF(LEFT(UPPER(K206),4)="REV-","REV-"&amp;VALUE(MID(K206,5,99)),IF(LEN(K206)=5,LEFT(K206,2)&amp;"."&amp;RIGHT(K206,3),K206)),verfvoorraad!E:E,verfvoorraad!G:G),"Niet gevonden")))</f>
        <v/>
      </c>
      <c r="Q206" t="str">
        <f t="shared" si="4"/>
        <v/>
      </c>
      <c r="R206" t="str">
        <f t="shared" si="5"/>
        <v/>
      </c>
    </row>
    <row r="207" spans="6:18" x14ac:dyDescent="0.25">
      <c r="F207"/>
      <c r="G207" s="20"/>
      <c r="H207" s="21"/>
      <c r="K207" s="23"/>
      <c r="L207" t="str">
        <f>IF(K207="","",IFERROR(_xlfn.XLOOKUP(K207,verfvoorraad!C:C,verfvoorraad!B:B),IFERROR(_xlfn.XLOOKUP(IF(LEFT(UPPER(K207),4)="REV-","REV-"&amp;VALUE(MID(K207,5,99)),IF(LEN(K207)=5,LEFT(K207,2)&amp;"."&amp;RIGHT(K207,3),K207)),verfvoorraad!E:E,verfvoorraad!B:B),"Niet gevonden")))</f>
        <v/>
      </c>
      <c r="M207" t="str">
        <f>IF(K207="","",IFERROR(_xlfn.XLOOKUP(K207,verfvoorraad!C:C,verfvoorraad!D:D),IFERROR(_xlfn.XLOOKUP(IF(LEFT(UPPER(K207),4)="REV-","REV-"&amp;VALUE(MID(K207,5,99)),IF(LEN(K207)=5,LEFT(K207,2)&amp;"."&amp;RIGHT(K207,3),K207)),verfvoorraad!E:E,verfvoorraad!D:D),"Niet gevonden")))</f>
        <v/>
      </c>
      <c r="N207" t="str">
        <f>IF(K207="","",IFERROR(_xlfn.XLOOKUP(K207,verfvoorraad!C:C,verfvoorraad!E:E),IFERROR(_xlfn.XLOOKUP(IF(LEFT(UPPER(K207),4)="REV-","REV-"&amp;VALUE(MID(K207,5,99)),IF(LEN(K207)=5,LEFT(K207,2)&amp;"."&amp;RIGHT(K207,3),K207)),verfvoorraad!E:E,verfvoorraad!E:E),"Niet gevonden")))</f>
        <v/>
      </c>
      <c r="O207" t="str">
        <f>IF(K207="","",IFERROR(_xlfn.XLOOKUP(K207,verfvoorraad!C:C,verfvoorraad!F:F),IFERROR(_xlfn.XLOOKUP(IF(LEFT(UPPER(K207),4)="REV-","REV-"&amp;VALUE(MID(K207,5,99)),IF(LEN(K207)=5,LEFT(K207,2)&amp;"."&amp;RIGHT(K207,3),K207)),verfvoorraad!E:E,verfvoorraad!F:F),"Niet gevonden")))</f>
        <v/>
      </c>
      <c r="P207" t="str">
        <f>IF(K207="","",IFERROR(_xlfn.XLOOKUP(K207,verfvoorraad!C:C,verfvoorraad!G:G),IFERROR(_xlfn.XLOOKUP(IF(LEFT(UPPER(K207),4)="REV-","REV-"&amp;VALUE(MID(K207,5,99)),IF(LEN(K207)=5,LEFT(K207,2)&amp;"."&amp;RIGHT(K207,3),K207)),verfvoorraad!E:E,verfvoorraad!G:G),"Niet gevonden")))</f>
        <v/>
      </c>
      <c r="Q207" t="str">
        <f t="shared" si="4"/>
        <v/>
      </c>
      <c r="R207" t="str">
        <f t="shared" si="5"/>
        <v/>
      </c>
    </row>
    <row r="208" spans="6:18" x14ac:dyDescent="0.25">
      <c r="F208"/>
      <c r="G208" s="20"/>
      <c r="H208" s="21"/>
      <c r="K208" s="23"/>
      <c r="L208" t="str">
        <f>IF(K208="","",IFERROR(_xlfn.XLOOKUP(K208,verfvoorraad!C:C,verfvoorraad!B:B),IFERROR(_xlfn.XLOOKUP(IF(LEFT(UPPER(K208),4)="REV-","REV-"&amp;VALUE(MID(K208,5,99)),IF(LEN(K208)=5,LEFT(K208,2)&amp;"."&amp;RIGHT(K208,3),K208)),verfvoorraad!E:E,verfvoorraad!B:B),"Niet gevonden")))</f>
        <v/>
      </c>
      <c r="M208" t="str">
        <f>IF(K208="","",IFERROR(_xlfn.XLOOKUP(K208,verfvoorraad!C:C,verfvoorraad!D:D),IFERROR(_xlfn.XLOOKUP(IF(LEFT(UPPER(K208),4)="REV-","REV-"&amp;VALUE(MID(K208,5,99)),IF(LEN(K208)=5,LEFT(K208,2)&amp;"."&amp;RIGHT(K208,3),K208)),verfvoorraad!E:E,verfvoorraad!D:D),"Niet gevonden")))</f>
        <v/>
      </c>
      <c r="N208" t="str">
        <f>IF(K208="","",IFERROR(_xlfn.XLOOKUP(K208,verfvoorraad!C:C,verfvoorraad!E:E),IFERROR(_xlfn.XLOOKUP(IF(LEFT(UPPER(K208),4)="REV-","REV-"&amp;VALUE(MID(K208,5,99)),IF(LEN(K208)=5,LEFT(K208,2)&amp;"."&amp;RIGHT(K208,3),K208)),verfvoorraad!E:E,verfvoorraad!E:E),"Niet gevonden")))</f>
        <v/>
      </c>
      <c r="O208" t="str">
        <f>IF(K208="","",IFERROR(_xlfn.XLOOKUP(K208,verfvoorraad!C:C,verfvoorraad!F:F),IFERROR(_xlfn.XLOOKUP(IF(LEFT(UPPER(K208),4)="REV-","REV-"&amp;VALUE(MID(K208,5,99)),IF(LEN(K208)=5,LEFT(K208,2)&amp;"."&amp;RIGHT(K208,3),K208)),verfvoorraad!E:E,verfvoorraad!F:F),"Niet gevonden")))</f>
        <v/>
      </c>
      <c r="P208" t="str">
        <f>IF(K208="","",IFERROR(_xlfn.XLOOKUP(K208,verfvoorraad!C:C,verfvoorraad!G:G),IFERROR(_xlfn.XLOOKUP(IF(LEFT(UPPER(K208),4)="REV-","REV-"&amp;VALUE(MID(K208,5,99)),IF(LEN(K208)=5,LEFT(K208,2)&amp;"."&amp;RIGHT(K208,3),K208)),verfvoorraad!E:E,verfvoorraad!G:G),"Niet gevonden")))</f>
        <v/>
      </c>
      <c r="Q208" t="str">
        <f t="shared" si="4"/>
        <v/>
      </c>
      <c r="R208" t="str">
        <f t="shared" si="5"/>
        <v/>
      </c>
    </row>
    <row r="209" spans="6:18" x14ac:dyDescent="0.25">
      <c r="F209"/>
      <c r="G209" s="20"/>
      <c r="H209" s="21"/>
      <c r="K209" s="23"/>
      <c r="L209" t="str">
        <f>IF(K209="","",IFERROR(_xlfn.XLOOKUP(K209,verfvoorraad!C:C,verfvoorraad!B:B),IFERROR(_xlfn.XLOOKUP(IF(LEFT(UPPER(K209),4)="REV-","REV-"&amp;VALUE(MID(K209,5,99)),IF(LEN(K209)=5,LEFT(K209,2)&amp;"."&amp;RIGHT(K209,3),K209)),verfvoorraad!E:E,verfvoorraad!B:B),"Niet gevonden")))</f>
        <v/>
      </c>
      <c r="M209" t="str">
        <f>IF(K209="","",IFERROR(_xlfn.XLOOKUP(K209,verfvoorraad!C:C,verfvoorraad!D:D),IFERROR(_xlfn.XLOOKUP(IF(LEFT(UPPER(K209),4)="REV-","REV-"&amp;VALUE(MID(K209,5,99)),IF(LEN(K209)=5,LEFT(K209,2)&amp;"."&amp;RIGHT(K209,3),K209)),verfvoorraad!E:E,verfvoorraad!D:D),"Niet gevonden")))</f>
        <v/>
      </c>
      <c r="N209" t="str">
        <f>IF(K209="","",IFERROR(_xlfn.XLOOKUP(K209,verfvoorraad!C:C,verfvoorraad!E:E),IFERROR(_xlfn.XLOOKUP(IF(LEFT(UPPER(K209),4)="REV-","REV-"&amp;VALUE(MID(K209,5,99)),IF(LEN(K209)=5,LEFT(K209,2)&amp;"."&amp;RIGHT(K209,3),K209)),verfvoorraad!E:E,verfvoorraad!E:E),"Niet gevonden")))</f>
        <v/>
      </c>
      <c r="O209" t="str">
        <f>IF(K209="","",IFERROR(_xlfn.XLOOKUP(K209,verfvoorraad!C:C,verfvoorraad!F:F),IFERROR(_xlfn.XLOOKUP(IF(LEFT(UPPER(K209),4)="REV-","REV-"&amp;VALUE(MID(K209,5,99)),IF(LEN(K209)=5,LEFT(K209,2)&amp;"."&amp;RIGHT(K209,3),K209)),verfvoorraad!E:E,verfvoorraad!F:F),"Niet gevonden")))</f>
        <v/>
      </c>
      <c r="P209" t="str">
        <f>IF(K209="","",IFERROR(_xlfn.XLOOKUP(K209,verfvoorraad!C:C,verfvoorraad!G:G),IFERROR(_xlfn.XLOOKUP(IF(LEFT(UPPER(K209),4)="REV-","REV-"&amp;VALUE(MID(K209,5,99)),IF(LEN(K209)=5,LEFT(K209,2)&amp;"."&amp;RIGHT(K209,3),K209)),verfvoorraad!E:E,verfvoorraad!G:G),"Niet gevonden")))</f>
        <v/>
      </c>
      <c r="Q209" t="str">
        <f t="shared" si="4"/>
        <v/>
      </c>
      <c r="R209" t="str">
        <f t="shared" si="5"/>
        <v/>
      </c>
    </row>
    <row r="210" spans="6:18" x14ac:dyDescent="0.25">
      <c r="F210"/>
      <c r="G210" s="20"/>
      <c r="H210" s="21"/>
      <c r="K210" s="23"/>
      <c r="L210" t="str">
        <f>IF(K210="","",IFERROR(_xlfn.XLOOKUP(K210,verfvoorraad!C:C,verfvoorraad!B:B),IFERROR(_xlfn.XLOOKUP(IF(LEFT(UPPER(K210),4)="REV-","REV-"&amp;VALUE(MID(K210,5,99)),IF(LEN(K210)=5,LEFT(K210,2)&amp;"."&amp;RIGHT(K210,3),K210)),verfvoorraad!E:E,verfvoorraad!B:B),"Niet gevonden")))</f>
        <v/>
      </c>
      <c r="M210" t="str">
        <f>IF(K210="","",IFERROR(_xlfn.XLOOKUP(K210,verfvoorraad!C:C,verfvoorraad!D:D),IFERROR(_xlfn.XLOOKUP(IF(LEFT(UPPER(K210),4)="REV-","REV-"&amp;VALUE(MID(K210,5,99)),IF(LEN(K210)=5,LEFT(K210,2)&amp;"."&amp;RIGHT(K210,3),K210)),verfvoorraad!E:E,verfvoorraad!D:D),"Niet gevonden")))</f>
        <v/>
      </c>
      <c r="N210" t="str">
        <f>IF(K210="","",IFERROR(_xlfn.XLOOKUP(K210,verfvoorraad!C:C,verfvoorraad!E:E),IFERROR(_xlfn.XLOOKUP(IF(LEFT(UPPER(K210),4)="REV-","REV-"&amp;VALUE(MID(K210,5,99)),IF(LEN(K210)=5,LEFT(K210,2)&amp;"."&amp;RIGHT(K210,3),K210)),verfvoorraad!E:E,verfvoorraad!E:E),"Niet gevonden")))</f>
        <v/>
      </c>
      <c r="O210" t="str">
        <f>IF(K210="","",IFERROR(_xlfn.XLOOKUP(K210,verfvoorraad!C:C,verfvoorraad!F:F),IFERROR(_xlfn.XLOOKUP(IF(LEFT(UPPER(K210),4)="REV-","REV-"&amp;VALUE(MID(K210,5,99)),IF(LEN(K210)=5,LEFT(K210,2)&amp;"."&amp;RIGHT(K210,3),K210)),verfvoorraad!E:E,verfvoorraad!F:F),"Niet gevonden")))</f>
        <v/>
      </c>
      <c r="P210" t="str">
        <f>IF(K210="","",IFERROR(_xlfn.XLOOKUP(K210,verfvoorraad!C:C,verfvoorraad!G:G),IFERROR(_xlfn.XLOOKUP(IF(LEFT(UPPER(K210),4)="REV-","REV-"&amp;VALUE(MID(K210,5,99)),IF(LEN(K210)=5,LEFT(K210,2)&amp;"."&amp;RIGHT(K210,3),K210)),verfvoorraad!E:E,verfvoorraad!G:G),"Niet gevonden")))</f>
        <v/>
      </c>
      <c r="Q210" t="str">
        <f t="shared" si="4"/>
        <v/>
      </c>
      <c r="R210" t="str">
        <f t="shared" si="5"/>
        <v/>
      </c>
    </row>
    <row r="211" spans="6:18" x14ac:dyDescent="0.25">
      <c r="F211"/>
      <c r="G211" s="20"/>
      <c r="H211" s="21"/>
      <c r="K211" s="23"/>
      <c r="L211" t="str">
        <f>IF(K211="","",IFERROR(_xlfn.XLOOKUP(K211,verfvoorraad!C:C,verfvoorraad!B:B),IFERROR(_xlfn.XLOOKUP(IF(LEFT(UPPER(K211),4)="REV-","REV-"&amp;VALUE(MID(K211,5,99)),IF(LEN(K211)=5,LEFT(K211,2)&amp;"."&amp;RIGHT(K211,3),K211)),verfvoorraad!E:E,verfvoorraad!B:B),"Niet gevonden")))</f>
        <v/>
      </c>
      <c r="M211" t="str">
        <f>IF(K211="","",IFERROR(_xlfn.XLOOKUP(K211,verfvoorraad!C:C,verfvoorraad!D:D),IFERROR(_xlfn.XLOOKUP(IF(LEFT(UPPER(K211),4)="REV-","REV-"&amp;VALUE(MID(K211,5,99)),IF(LEN(K211)=5,LEFT(K211,2)&amp;"."&amp;RIGHT(K211,3),K211)),verfvoorraad!E:E,verfvoorraad!D:D),"Niet gevonden")))</f>
        <v/>
      </c>
      <c r="N211" t="str">
        <f>IF(K211="","",IFERROR(_xlfn.XLOOKUP(K211,verfvoorraad!C:C,verfvoorraad!E:E),IFERROR(_xlfn.XLOOKUP(IF(LEFT(UPPER(K211),4)="REV-","REV-"&amp;VALUE(MID(K211,5,99)),IF(LEN(K211)=5,LEFT(K211,2)&amp;"."&amp;RIGHT(K211,3),K211)),verfvoorraad!E:E,verfvoorraad!E:E),"Niet gevonden")))</f>
        <v/>
      </c>
      <c r="O211" t="str">
        <f>IF(K211="","",IFERROR(_xlfn.XLOOKUP(K211,verfvoorraad!C:C,verfvoorraad!F:F),IFERROR(_xlfn.XLOOKUP(IF(LEFT(UPPER(K211),4)="REV-","REV-"&amp;VALUE(MID(K211,5,99)),IF(LEN(K211)=5,LEFT(K211,2)&amp;"."&amp;RIGHT(K211,3),K211)),verfvoorraad!E:E,verfvoorraad!F:F),"Niet gevonden")))</f>
        <v/>
      </c>
      <c r="P211" t="str">
        <f>IF(K211="","",IFERROR(_xlfn.XLOOKUP(K211,verfvoorraad!C:C,verfvoorraad!G:G),IFERROR(_xlfn.XLOOKUP(IF(LEFT(UPPER(K211),4)="REV-","REV-"&amp;VALUE(MID(K211,5,99)),IF(LEN(K211)=5,LEFT(K211,2)&amp;"."&amp;RIGHT(K211,3),K211)),verfvoorraad!E:E,verfvoorraad!G:G),"Niet gevonden")))</f>
        <v/>
      </c>
      <c r="Q211" t="str">
        <f t="shared" si="4"/>
        <v/>
      </c>
      <c r="R211" t="str">
        <f t="shared" si="5"/>
        <v/>
      </c>
    </row>
    <row r="212" spans="6:18" x14ac:dyDescent="0.25">
      <c r="F212"/>
      <c r="G212" s="20"/>
      <c r="H212" s="21"/>
      <c r="K212" s="23"/>
      <c r="L212" t="str">
        <f>IF(K212="","",IFERROR(_xlfn.XLOOKUP(K212,verfvoorraad!C:C,verfvoorraad!B:B),IFERROR(_xlfn.XLOOKUP(IF(LEFT(UPPER(K212),4)="REV-","REV-"&amp;VALUE(MID(K212,5,99)),IF(LEN(K212)=5,LEFT(K212,2)&amp;"."&amp;RIGHT(K212,3),K212)),verfvoorraad!E:E,verfvoorraad!B:B),"Niet gevonden")))</f>
        <v/>
      </c>
      <c r="M212" t="str">
        <f>IF(K212="","",IFERROR(_xlfn.XLOOKUP(K212,verfvoorraad!C:C,verfvoorraad!D:D),IFERROR(_xlfn.XLOOKUP(IF(LEFT(UPPER(K212),4)="REV-","REV-"&amp;VALUE(MID(K212,5,99)),IF(LEN(K212)=5,LEFT(K212,2)&amp;"."&amp;RIGHT(K212,3),K212)),verfvoorraad!E:E,verfvoorraad!D:D),"Niet gevonden")))</f>
        <v/>
      </c>
      <c r="N212" t="str">
        <f>IF(K212="","",IFERROR(_xlfn.XLOOKUP(K212,verfvoorraad!C:C,verfvoorraad!E:E),IFERROR(_xlfn.XLOOKUP(IF(LEFT(UPPER(K212),4)="REV-","REV-"&amp;VALUE(MID(K212,5,99)),IF(LEN(K212)=5,LEFT(K212,2)&amp;"."&amp;RIGHT(K212,3),K212)),verfvoorraad!E:E,verfvoorraad!E:E),"Niet gevonden")))</f>
        <v/>
      </c>
      <c r="O212" t="str">
        <f>IF(K212="","",IFERROR(_xlfn.XLOOKUP(K212,verfvoorraad!C:C,verfvoorraad!F:F),IFERROR(_xlfn.XLOOKUP(IF(LEFT(UPPER(K212),4)="REV-","REV-"&amp;VALUE(MID(K212,5,99)),IF(LEN(K212)=5,LEFT(K212,2)&amp;"."&amp;RIGHT(K212,3),K212)),verfvoorraad!E:E,verfvoorraad!F:F),"Niet gevonden")))</f>
        <v/>
      </c>
      <c r="P212" t="str">
        <f>IF(K212="","",IFERROR(_xlfn.XLOOKUP(K212,verfvoorraad!C:C,verfvoorraad!G:G),IFERROR(_xlfn.XLOOKUP(IF(LEFT(UPPER(K212),4)="REV-","REV-"&amp;VALUE(MID(K212,5,99)),IF(LEN(K212)=5,LEFT(K212,2)&amp;"."&amp;RIGHT(K212,3),K212)),verfvoorraad!E:E,verfvoorraad!G:G),"Niet gevonden")))</f>
        <v/>
      </c>
      <c r="Q212" t="str">
        <f t="shared" si="4"/>
        <v/>
      </c>
      <c r="R212" t="str">
        <f t="shared" si="5"/>
        <v/>
      </c>
    </row>
    <row r="213" spans="6:18" x14ac:dyDescent="0.25">
      <c r="F213"/>
      <c r="G213" s="20"/>
      <c r="H213" s="21"/>
      <c r="K213" s="23"/>
      <c r="L213" t="str">
        <f>IF(K213="","",IFERROR(_xlfn.XLOOKUP(K213,verfvoorraad!C:C,verfvoorraad!B:B),IFERROR(_xlfn.XLOOKUP(IF(LEFT(UPPER(K213),4)="REV-","REV-"&amp;VALUE(MID(K213,5,99)),IF(LEN(K213)=5,LEFT(K213,2)&amp;"."&amp;RIGHT(K213,3),K213)),verfvoorraad!E:E,verfvoorraad!B:B),"Niet gevonden")))</f>
        <v/>
      </c>
      <c r="M213" t="str">
        <f>IF(K213="","",IFERROR(_xlfn.XLOOKUP(K213,verfvoorraad!C:C,verfvoorraad!D:D),IFERROR(_xlfn.XLOOKUP(IF(LEFT(UPPER(K213),4)="REV-","REV-"&amp;VALUE(MID(K213,5,99)),IF(LEN(K213)=5,LEFT(K213,2)&amp;"."&amp;RIGHT(K213,3),K213)),verfvoorraad!E:E,verfvoorraad!D:D),"Niet gevonden")))</f>
        <v/>
      </c>
      <c r="N213" t="str">
        <f>IF(K213="","",IFERROR(_xlfn.XLOOKUP(K213,verfvoorraad!C:C,verfvoorraad!E:E),IFERROR(_xlfn.XLOOKUP(IF(LEFT(UPPER(K213),4)="REV-","REV-"&amp;VALUE(MID(K213,5,99)),IF(LEN(K213)=5,LEFT(K213,2)&amp;"."&amp;RIGHT(K213,3),K213)),verfvoorraad!E:E,verfvoorraad!E:E),"Niet gevonden")))</f>
        <v/>
      </c>
      <c r="O213" t="str">
        <f>IF(K213="","",IFERROR(_xlfn.XLOOKUP(K213,verfvoorraad!C:C,verfvoorraad!F:F),IFERROR(_xlfn.XLOOKUP(IF(LEFT(UPPER(K213),4)="REV-","REV-"&amp;VALUE(MID(K213,5,99)),IF(LEN(K213)=5,LEFT(K213,2)&amp;"."&amp;RIGHT(K213,3),K213)),verfvoorraad!E:E,verfvoorraad!F:F),"Niet gevonden")))</f>
        <v/>
      </c>
      <c r="P213" t="str">
        <f>IF(K213="","",IFERROR(_xlfn.XLOOKUP(K213,verfvoorraad!C:C,verfvoorraad!G:G),IFERROR(_xlfn.XLOOKUP(IF(LEFT(UPPER(K213),4)="REV-","REV-"&amp;VALUE(MID(K213,5,99)),IF(LEN(K213)=5,LEFT(K213,2)&amp;"."&amp;RIGHT(K213,3),K213)),verfvoorraad!E:E,verfvoorraad!G:G),"Niet gevonden")))</f>
        <v/>
      </c>
      <c r="Q213" t="str">
        <f t="shared" ref="Q213:Q276" si="6">IF(K213="","",IF(O213="Ja","Nee",IF(O213="Nee","Ja",IF(O213="Niet gevonden","Niet gevonden",""))))</f>
        <v/>
      </c>
      <c r="R213" t="str">
        <f t="shared" ref="R213:R276" si="7">IF(Q213="Ja","Toevoegen","")</f>
        <v/>
      </c>
    </row>
    <row r="214" spans="6:18" x14ac:dyDescent="0.25">
      <c r="F214"/>
      <c r="G214" s="20"/>
      <c r="H214" s="21"/>
      <c r="K214" s="23"/>
      <c r="L214" t="str">
        <f>IF(K214="","",IFERROR(_xlfn.XLOOKUP(K214,verfvoorraad!C:C,verfvoorraad!B:B),IFERROR(_xlfn.XLOOKUP(IF(LEFT(UPPER(K214),4)="REV-","REV-"&amp;VALUE(MID(K214,5,99)),IF(LEN(K214)=5,LEFT(K214,2)&amp;"."&amp;RIGHT(K214,3),K214)),verfvoorraad!E:E,verfvoorraad!B:B),"Niet gevonden")))</f>
        <v/>
      </c>
      <c r="M214" t="str">
        <f>IF(K214="","",IFERROR(_xlfn.XLOOKUP(K214,verfvoorraad!C:C,verfvoorraad!D:D),IFERROR(_xlfn.XLOOKUP(IF(LEFT(UPPER(K214),4)="REV-","REV-"&amp;VALUE(MID(K214,5,99)),IF(LEN(K214)=5,LEFT(K214,2)&amp;"."&amp;RIGHT(K214,3),K214)),verfvoorraad!E:E,verfvoorraad!D:D),"Niet gevonden")))</f>
        <v/>
      </c>
      <c r="N214" t="str">
        <f>IF(K214="","",IFERROR(_xlfn.XLOOKUP(K214,verfvoorraad!C:C,verfvoorraad!E:E),IFERROR(_xlfn.XLOOKUP(IF(LEFT(UPPER(K214),4)="REV-","REV-"&amp;VALUE(MID(K214,5,99)),IF(LEN(K214)=5,LEFT(K214,2)&amp;"."&amp;RIGHT(K214,3),K214)),verfvoorraad!E:E,verfvoorraad!E:E),"Niet gevonden")))</f>
        <v/>
      </c>
      <c r="O214" t="str">
        <f>IF(K214="","",IFERROR(_xlfn.XLOOKUP(K214,verfvoorraad!C:C,verfvoorraad!F:F),IFERROR(_xlfn.XLOOKUP(IF(LEFT(UPPER(K214),4)="REV-","REV-"&amp;VALUE(MID(K214,5,99)),IF(LEN(K214)=5,LEFT(K214,2)&amp;"."&amp;RIGHT(K214,3),K214)),verfvoorraad!E:E,verfvoorraad!F:F),"Niet gevonden")))</f>
        <v/>
      </c>
      <c r="P214" t="str">
        <f>IF(K214="","",IFERROR(_xlfn.XLOOKUP(K214,verfvoorraad!C:C,verfvoorraad!G:G),IFERROR(_xlfn.XLOOKUP(IF(LEFT(UPPER(K214),4)="REV-","REV-"&amp;VALUE(MID(K214,5,99)),IF(LEN(K214)=5,LEFT(K214,2)&amp;"."&amp;RIGHT(K214,3),K214)),verfvoorraad!E:E,verfvoorraad!G:G),"Niet gevonden")))</f>
        <v/>
      </c>
      <c r="Q214" t="str">
        <f t="shared" si="6"/>
        <v/>
      </c>
      <c r="R214" t="str">
        <f t="shared" si="7"/>
        <v/>
      </c>
    </row>
    <row r="215" spans="6:18" x14ac:dyDescent="0.25">
      <c r="F215"/>
      <c r="G215" s="20"/>
      <c r="H215" s="21"/>
      <c r="K215" s="23"/>
      <c r="L215" t="str">
        <f>IF(K215="","",IFERROR(_xlfn.XLOOKUP(K215,verfvoorraad!C:C,verfvoorraad!B:B),IFERROR(_xlfn.XLOOKUP(IF(LEFT(UPPER(K215),4)="REV-","REV-"&amp;VALUE(MID(K215,5,99)),IF(LEN(K215)=5,LEFT(K215,2)&amp;"."&amp;RIGHT(K215,3),K215)),verfvoorraad!E:E,verfvoorraad!B:B),"Niet gevonden")))</f>
        <v/>
      </c>
      <c r="M215" t="str">
        <f>IF(K215="","",IFERROR(_xlfn.XLOOKUP(K215,verfvoorraad!C:C,verfvoorraad!D:D),IFERROR(_xlfn.XLOOKUP(IF(LEFT(UPPER(K215),4)="REV-","REV-"&amp;VALUE(MID(K215,5,99)),IF(LEN(K215)=5,LEFT(K215,2)&amp;"."&amp;RIGHT(K215,3),K215)),verfvoorraad!E:E,verfvoorraad!D:D),"Niet gevonden")))</f>
        <v/>
      </c>
      <c r="N215" t="str">
        <f>IF(K215="","",IFERROR(_xlfn.XLOOKUP(K215,verfvoorraad!C:C,verfvoorraad!E:E),IFERROR(_xlfn.XLOOKUP(IF(LEFT(UPPER(K215),4)="REV-","REV-"&amp;VALUE(MID(K215,5,99)),IF(LEN(K215)=5,LEFT(K215,2)&amp;"."&amp;RIGHT(K215,3),K215)),verfvoorraad!E:E,verfvoorraad!E:E),"Niet gevonden")))</f>
        <v/>
      </c>
      <c r="O215" t="str">
        <f>IF(K215="","",IFERROR(_xlfn.XLOOKUP(K215,verfvoorraad!C:C,verfvoorraad!F:F),IFERROR(_xlfn.XLOOKUP(IF(LEFT(UPPER(K215),4)="REV-","REV-"&amp;VALUE(MID(K215,5,99)),IF(LEN(K215)=5,LEFT(K215,2)&amp;"."&amp;RIGHT(K215,3),K215)),verfvoorraad!E:E,verfvoorraad!F:F),"Niet gevonden")))</f>
        <v/>
      </c>
      <c r="P215" t="str">
        <f>IF(K215="","",IFERROR(_xlfn.XLOOKUP(K215,verfvoorraad!C:C,verfvoorraad!G:G),IFERROR(_xlfn.XLOOKUP(IF(LEFT(UPPER(K215),4)="REV-","REV-"&amp;VALUE(MID(K215,5,99)),IF(LEN(K215)=5,LEFT(K215,2)&amp;"."&amp;RIGHT(K215,3),K215)),verfvoorraad!E:E,verfvoorraad!G:G),"Niet gevonden")))</f>
        <v/>
      </c>
      <c r="Q215" t="str">
        <f t="shared" si="6"/>
        <v/>
      </c>
      <c r="R215" t="str">
        <f t="shared" si="7"/>
        <v/>
      </c>
    </row>
    <row r="216" spans="6:18" x14ac:dyDescent="0.25">
      <c r="F216"/>
      <c r="G216" s="20"/>
      <c r="H216" s="21"/>
      <c r="K216" s="23"/>
      <c r="L216" t="str">
        <f>IF(K216="","",IFERROR(_xlfn.XLOOKUP(K216,verfvoorraad!C:C,verfvoorraad!B:B),IFERROR(_xlfn.XLOOKUP(IF(LEFT(UPPER(K216),4)="REV-","REV-"&amp;VALUE(MID(K216,5,99)),IF(LEN(K216)=5,LEFT(K216,2)&amp;"."&amp;RIGHT(K216,3),K216)),verfvoorraad!E:E,verfvoorraad!B:B),"Niet gevonden")))</f>
        <v/>
      </c>
      <c r="M216" t="str">
        <f>IF(K216="","",IFERROR(_xlfn.XLOOKUP(K216,verfvoorraad!C:C,verfvoorraad!D:D),IFERROR(_xlfn.XLOOKUP(IF(LEFT(UPPER(K216),4)="REV-","REV-"&amp;VALUE(MID(K216,5,99)),IF(LEN(K216)=5,LEFT(K216,2)&amp;"."&amp;RIGHT(K216,3),K216)),verfvoorraad!E:E,verfvoorraad!D:D),"Niet gevonden")))</f>
        <v/>
      </c>
      <c r="N216" t="str">
        <f>IF(K216="","",IFERROR(_xlfn.XLOOKUP(K216,verfvoorraad!C:C,verfvoorraad!E:E),IFERROR(_xlfn.XLOOKUP(IF(LEFT(UPPER(K216),4)="REV-","REV-"&amp;VALUE(MID(K216,5,99)),IF(LEN(K216)=5,LEFT(K216,2)&amp;"."&amp;RIGHT(K216,3),K216)),verfvoorraad!E:E,verfvoorraad!E:E),"Niet gevonden")))</f>
        <v/>
      </c>
      <c r="O216" t="str">
        <f>IF(K216="","",IFERROR(_xlfn.XLOOKUP(K216,verfvoorraad!C:C,verfvoorraad!F:F),IFERROR(_xlfn.XLOOKUP(IF(LEFT(UPPER(K216),4)="REV-","REV-"&amp;VALUE(MID(K216,5,99)),IF(LEN(K216)=5,LEFT(K216,2)&amp;"."&amp;RIGHT(K216,3),K216)),verfvoorraad!E:E,verfvoorraad!F:F),"Niet gevonden")))</f>
        <v/>
      </c>
      <c r="P216" t="str">
        <f>IF(K216="","",IFERROR(_xlfn.XLOOKUP(K216,verfvoorraad!C:C,verfvoorraad!G:G),IFERROR(_xlfn.XLOOKUP(IF(LEFT(UPPER(K216),4)="REV-","REV-"&amp;VALUE(MID(K216,5,99)),IF(LEN(K216)=5,LEFT(K216,2)&amp;"."&amp;RIGHT(K216,3),K216)),verfvoorraad!E:E,verfvoorraad!G:G),"Niet gevonden")))</f>
        <v/>
      </c>
      <c r="Q216" t="str">
        <f t="shared" si="6"/>
        <v/>
      </c>
      <c r="R216" t="str">
        <f t="shared" si="7"/>
        <v/>
      </c>
    </row>
    <row r="217" spans="6:18" x14ac:dyDescent="0.25">
      <c r="F217"/>
      <c r="G217" s="20"/>
      <c r="H217" s="21"/>
      <c r="K217" s="23"/>
      <c r="L217" t="str">
        <f>IF(K217="","",IFERROR(_xlfn.XLOOKUP(K217,verfvoorraad!C:C,verfvoorraad!B:B),IFERROR(_xlfn.XLOOKUP(IF(LEFT(UPPER(K217),4)="REV-","REV-"&amp;VALUE(MID(K217,5,99)),IF(LEN(K217)=5,LEFT(K217,2)&amp;"."&amp;RIGHT(K217,3),K217)),verfvoorraad!E:E,verfvoorraad!B:B),"Niet gevonden")))</f>
        <v/>
      </c>
      <c r="M217" t="str">
        <f>IF(K217="","",IFERROR(_xlfn.XLOOKUP(K217,verfvoorraad!C:C,verfvoorraad!D:D),IFERROR(_xlfn.XLOOKUP(IF(LEFT(UPPER(K217),4)="REV-","REV-"&amp;VALUE(MID(K217,5,99)),IF(LEN(K217)=5,LEFT(K217,2)&amp;"."&amp;RIGHT(K217,3),K217)),verfvoorraad!E:E,verfvoorraad!D:D),"Niet gevonden")))</f>
        <v/>
      </c>
      <c r="N217" t="str">
        <f>IF(K217="","",IFERROR(_xlfn.XLOOKUP(K217,verfvoorraad!C:C,verfvoorraad!E:E),IFERROR(_xlfn.XLOOKUP(IF(LEFT(UPPER(K217),4)="REV-","REV-"&amp;VALUE(MID(K217,5,99)),IF(LEN(K217)=5,LEFT(K217,2)&amp;"."&amp;RIGHT(K217,3),K217)),verfvoorraad!E:E,verfvoorraad!E:E),"Niet gevonden")))</f>
        <v/>
      </c>
      <c r="O217" t="str">
        <f>IF(K217="","",IFERROR(_xlfn.XLOOKUP(K217,verfvoorraad!C:C,verfvoorraad!F:F),IFERROR(_xlfn.XLOOKUP(IF(LEFT(UPPER(K217),4)="REV-","REV-"&amp;VALUE(MID(K217,5,99)),IF(LEN(K217)=5,LEFT(K217,2)&amp;"."&amp;RIGHT(K217,3),K217)),verfvoorraad!E:E,verfvoorraad!F:F),"Niet gevonden")))</f>
        <v/>
      </c>
      <c r="P217" t="str">
        <f>IF(K217="","",IFERROR(_xlfn.XLOOKUP(K217,verfvoorraad!C:C,verfvoorraad!G:G),IFERROR(_xlfn.XLOOKUP(IF(LEFT(UPPER(K217),4)="REV-","REV-"&amp;VALUE(MID(K217,5,99)),IF(LEN(K217)=5,LEFT(K217,2)&amp;"."&amp;RIGHT(K217,3),K217)),verfvoorraad!E:E,verfvoorraad!G:G),"Niet gevonden")))</f>
        <v/>
      </c>
      <c r="Q217" t="str">
        <f t="shared" si="6"/>
        <v/>
      </c>
      <c r="R217" t="str">
        <f t="shared" si="7"/>
        <v/>
      </c>
    </row>
    <row r="218" spans="6:18" x14ac:dyDescent="0.25">
      <c r="F218"/>
      <c r="G218" s="20"/>
      <c r="H218" s="21"/>
      <c r="K218" s="23"/>
      <c r="L218" t="str">
        <f>IF(K218="","",IFERROR(_xlfn.XLOOKUP(K218,verfvoorraad!C:C,verfvoorraad!B:B),IFERROR(_xlfn.XLOOKUP(IF(LEFT(UPPER(K218),4)="REV-","REV-"&amp;VALUE(MID(K218,5,99)),IF(LEN(K218)=5,LEFT(K218,2)&amp;"."&amp;RIGHT(K218,3),K218)),verfvoorraad!E:E,verfvoorraad!B:B),"Niet gevonden")))</f>
        <v/>
      </c>
      <c r="M218" t="str">
        <f>IF(K218="","",IFERROR(_xlfn.XLOOKUP(K218,verfvoorraad!C:C,verfvoorraad!D:D),IFERROR(_xlfn.XLOOKUP(IF(LEFT(UPPER(K218),4)="REV-","REV-"&amp;VALUE(MID(K218,5,99)),IF(LEN(K218)=5,LEFT(K218,2)&amp;"."&amp;RIGHT(K218,3),K218)),verfvoorraad!E:E,verfvoorraad!D:D),"Niet gevonden")))</f>
        <v/>
      </c>
      <c r="N218" t="str">
        <f>IF(K218="","",IFERROR(_xlfn.XLOOKUP(K218,verfvoorraad!C:C,verfvoorraad!E:E),IFERROR(_xlfn.XLOOKUP(IF(LEFT(UPPER(K218),4)="REV-","REV-"&amp;VALUE(MID(K218,5,99)),IF(LEN(K218)=5,LEFT(K218,2)&amp;"."&amp;RIGHT(K218,3),K218)),verfvoorraad!E:E,verfvoorraad!E:E),"Niet gevonden")))</f>
        <v/>
      </c>
      <c r="O218" t="str">
        <f>IF(K218="","",IFERROR(_xlfn.XLOOKUP(K218,verfvoorraad!C:C,verfvoorraad!F:F),IFERROR(_xlfn.XLOOKUP(IF(LEFT(UPPER(K218),4)="REV-","REV-"&amp;VALUE(MID(K218,5,99)),IF(LEN(K218)=5,LEFT(K218,2)&amp;"."&amp;RIGHT(K218,3),K218)),verfvoorraad!E:E,verfvoorraad!F:F),"Niet gevonden")))</f>
        <v/>
      </c>
      <c r="P218" t="str">
        <f>IF(K218="","",IFERROR(_xlfn.XLOOKUP(K218,verfvoorraad!C:C,verfvoorraad!G:G),IFERROR(_xlfn.XLOOKUP(IF(LEFT(UPPER(K218),4)="REV-","REV-"&amp;VALUE(MID(K218,5,99)),IF(LEN(K218)=5,LEFT(K218,2)&amp;"."&amp;RIGHT(K218,3),K218)),verfvoorraad!E:E,verfvoorraad!G:G),"Niet gevonden")))</f>
        <v/>
      </c>
      <c r="Q218" t="str">
        <f t="shared" si="6"/>
        <v/>
      </c>
      <c r="R218" t="str">
        <f t="shared" si="7"/>
        <v/>
      </c>
    </row>
    <row r="219" spans="6:18" x14ac:dyDescent="0.25">
      <c r="F219"/>
      <c r="G219" s="20"/>
      <c r="H219" s="21"/>
      <c r="K219" s="23"/>
      <c r="L219" t="str">
        <f>IF(K219="","",IFERROR(_xlfn.XLOOKUP(K219,verfvoorraad!C:C,verfvoorraad!B:B),IFERROR(_xlfn.XLOOKUP(IF(LEFT(UPPER(K219),4)="REV-","REV-"&amp;VALUE(MID(K219,5,99)),IF(LEN(K219)=5,LEFT(K219,2)&amp;"."&amp;RIGHT(K219,3),K219)),verfvoorraad!E:E,verfvoorraad!B:B),"Niet gevonden")))</f>
        <v/>
      </c>
      <c r="M219" t="str">
        <f>IF(K219="","",IFERROR(_xlfn.XLOOKUP(K219,verfvoorraad!C:C,verfvoorraad!D:D),IFERROR(_xlfn.XLOOKUP(IF(LEFT(UPPER(K219),4)="REV-","REV-"&amp;VALUE(MID(K219,5,99)),IF(LEN(K219)=5,LEFT(K219,2)&amp;"."&amp;RIGHT(K219,3),K219)),verfvoorraad!E:E,verfvoorraad!D:D),"Niet gevonden")))</f>
        <v/>
      </c>
      <c r="N219" t="str">
        <f>IF(K219="","",IFERROR(_xlfn.XLOOKUP(K219,verfvoorraad!C:C,verfvoorraad!E:E),IFERROR(_xlfn.XLOOKUP(IF(LEFT(UPPER(K219),4)="REV-","REV-"&amp;VALUE(MID(K219,5,99)),IF(LEN(K219)=5,LEFT(K219,2)&amp;"."&amp;RIGHT(K219,3),K219)),verfvoorraad!E:E,verfvoorraad!E:E),"Niet gevonden")))</f>
        <v/>
      </c>
      <c r="O219" t="str">
        <f>IF(K219="","",IFERROR(_xlfn.XLOOKUP(K219,verfvoorraad!C:C,verfvoorraad!F:F),IFERROR(_xlfn.XLOOKUP(IF(LEFT(UPPER(K219),4)="REV-","REV-"&amp;VALUE(MID(K219,5,99)),IF(LEN(K219)=5,LEFT(K219,2)&amp;"."&amp;RIGHT(K219,3),K219)),verfvoorraad!E:E,verfvoorraad!F:F),"Niet gevonden")))</f>
        <v/>
      </c>
      <c r="P219" t="str">
        <f>IF(K219="","",IFERROR(_xlfn.XLOOKUP(K219,verfvoorraad!C:C,verfvoorraad!G:G),IFERROR(_xlfn.XLOOKUP(IF(LEFT(UPPER(K219),4)="REV-","REV-"&amp;VALUE(MID(K219,5,99)),IF(LEN(K219)=5,LEFT(K219,2)&amp;"."&amp;RIGHT(K219,3),K219)),verfvoorraad!E:E,verfvoorraad!G:G),"Niet gevonden")))</f>
        <v/>
      </c>
      <c r="Q219" t="str">
        <f t="shared" si="6"/>
        <v/>
      </c>
      <c r="R219" t="str">
        <f t="shared" si="7"/>
        <v/>
      </c>
    </row>
    <row r="220" spans="6:18" x14ac:dyDescent="0.25">
      <c r="F220"/>
      <c r="G220" s="20"/>
      <c r="H220" s="21"/>
      <c r="K220" s="23"/>
      <c r="L220" t="str">
        <f>IF(K220="","",IFERROR(_xlfn.XLOOKUP(K220,verfvoorraad!C:C,verfvoorraad!B:B),IFERROR(_xlfn.XLOOKUP(IF(LEFT(UPPER(K220),4)="REV-","REV-"&amp;VALUE(MID(K220,5,99)),IF(LEN(K220)=5,LEFT(K220,2)&amp;"."&amp;RIGHT(K220,3),K220)),verfvoorraad!E:E,verfvoorraad!B:B),"Niet gevonden")))</f>
        <v/>
      </c>
      <c r="M220" t="str">
        <f>IF(K220="","",IFERROR(_xlfn.XLOOKUP(K220,verfvoorraad!C:C,verfvoorraad!D:D),IFERROR(_xlfn.XLOOKUP(IF(LEFT(UPPER(K220),4)="REV-","REV-"&amp;VALUE(MID(K220,5,99)),IF(LEN(K220)=5,LEFT(K220,2)&amp;"."&amp;RIGHT(K220,3),K220)),verfvoorraad!E:E,verfvoorraad!D:D),"Niet gevonden")))</f>
        <v/>
      </c>
      <c r="N220" t="str">
        <f>IF(K220="","",IFERROR(_xlfn.XLOOKUP(K220,verfvoorraad!C:C,verfvoorraad!E:E),IFERROR(_xlfn.XLOOKUP(IF(LEFT(UPPER(K220),4)="REV-","REV-"&amp;VALUE(MID(K220,5,99)),IF(LEN(K220)=5,LEFT(K220,2)&amp;"."&amp;RIGHT(K220,3),K220)),verfvoorraad!E:E,verfvoorraad!E:E),"Niet gevonden")))</f>
        <v/>
      </c>
      <c r="O220" t="str">
        <f>IF(K220="","",IFERROR(_xlfn.XLOOKUP(K220,verfvoorraad!C:C,verfvoorraad!F:F),IFERROR(_xlfn.XLOOKUP(IF(LEFT(UPPER(K220),4)="REV-","REV-"&amp;VALUE(MID(K220,5,99)),IF(LEN(K220)=5,LEFT(K220,2)&amp;"."&amp;RIGHT(K220,3),K220)),verfvoorraad!E:E,verfvoorraad!F:F),"Niet gevonden")))</f>
        <v/>
      </c>
      <c r="P220" t="str">
        <f>IF(K220="","",IFERROR(_xlfn.XLOOKUP(K220,verfvoorraad!C:C,verfvoorraad!G:G),IFERROR(_xlfn.XLOOKUP(IF(LEFT(UPPER(K220),4)="REV-","REV-"&amp;VALUE(MID(K220,5,99)),IF(LEN(K220)=5,LEFT(K220,2)&amp;"."&amp;RIGHT(K220,3),K220)),verfvoorraad!E:E,verfvoorraad!G:G),"Niet gevonden")))</f>
        <v/>
      </c>
      <c r="Q220" t="str">
        <f t="shared" si="6"/>
        <v/>
      </c>
      <c r="R220" t="str">
        <f t="shared" si="7"/>
        <v/>
      </c>
    </row>
    <row r="221" spans="6:18" x14ac:dyDescent="0.25">
      <c r="F221"/>
      <c r="G221" s="20"/>
      <c r="H221" s="21"/>
      <c r="K221" s="23"/>
      <c r="L221" t="str">
        <f>IF(K221="","",IFERROR(_xlfn.XLOOKUP(K221,verfvoorraad!C:C,verfvoorraad!B:B),IFERROR(_xlfn.XLOOKUP(IF(LEFT(UPPER(K221),4)="REV-","REV-"&amp;VALUE(MID(K221,5,99)),IF(LEN(K221)=5,LEFT(K221,2)&amp;"."&amp;RIGHT(K221,3),K221)),verfvoorraad!E:E,verfvoorraad!B:B),"Niet gevonden")))</f>
        <v/>
      </c>
      <c r="M221" t="str">
        <f>IF(K221="","",IFERROR(_xlfn.XLOOKUP(K221,verfvoorraad!C:C,verfvoorraad!D:D),IFERROR(_xlfn.XLOOKUP(IF(LEFT(UPPER(K221),4)="REV-","REV-"&amp;VALUE(MID(K221,5,99)),IF(LEN(K221)=5,LEFT(K221,2)&amp;"."&amp;RIGHT(K221,3),K221)),verfvoorraad!E:E,verfvoorraad!D:D),"Niet gevonden")))</f>
        <v/>
      </c>
      <c r="N221" t="str">
        <f>IF(K221="","",IFERROR(_xlfn.XLOOKUP(K221,verfvoorraad!C:C,verfvoorraad!E:E),IFERROR(_xlfn.XLOOKUP(IF(LEFT(UPPER(K221),4)="REV-","REV-"&amp;VALUE(MID(K221,5,99)),IF(LEN(K221)=5,LEFT(K221,2)&amp;"."&amp;RIGHT(K221,3),K221)),verfvoorraad!E:E,verfvoorraad!E:E),"Niet gevonden")))</f>
        <v/>
      </c>
      <c r="O221" t="str">
        <f>IF(K221="","",IFERROR(_xlfn.XLOOKUP(K221,verfvoorraad!C:C,verfvoorraad!F:F),IFERROR(_xlfn.XLOOKUP(IF(LEFT(UPPER(K221),4)="REV-","REV-"&amp;VALUE(MID(K221,5,99)),IF(LEN(K221)=5,LEFT(K221,2)&amp;"."&amp;RIGHT(K221,3),K221)),verfvoorraad!E:E,verfvoorraad!F:F),"Niet gevonden")))</f>
        <v/>
      </c>
      <c r="P221" t="str">
        <f>IF(K221="","",IFERROR(_xlfn.XLOOKUP(K221,verfvoorraad!C:C,verfvoorraad!G:G),IFERROR(_xlfn.XLOOKUP(IF(LEFT(UPPER(K221),4)="REV-","REV-"&amp;VALUE(MID(K221,5,99)),IF(LEN(K221)=5,LEFT(K221,2)&amp;"."&amp;RIGHT(K221,3),K221)),verfvoorraad!E:E,verfvoorraad!G:G),"Niet gevonden")))</f>
        <v/>
      </c>
      <c r="Q221" t="str">
        <f t="shared" si="6"/>
        <v/>
      </c>
      <c r="R221" t="str">
        <f t="shared" si="7"/>
        <v/>
      </c>
    </row>
    <row r="222" spans="6:18" x14ac:dyDescent="0.25">
      <c r="F222"/>
      <c r="G222" s="20"/>
      <c r="H222" s="21"/>
      <c r="K222" s="23"/>
      <c r="L222" t="str">
        <f>IF(K222="","",IFERROR(_xlfn.XLOOKUP(K222,verfvoorraad!C:C,verfvoorraad!B:B),IFERROR(_xlfn.XLOOKUP(IF(LEFT(UPPER(K222),4)="REV-","REV-"&amp;VALUE(MID(K222,5,99)),IF(LEN(K222)=5,LEFT(K222,2)&amp;"."&amp;RIGHT(K222,3),K222)),verfvoorraad!E:E,verfvoorraad!B:B),"Niet gevonden")))</f>
        <v/>
      </c>
      <c r="M222" t="str">
        <f>IF(K222="","",IFERROR(_xlfn.XLOOKUP(K222,verfvoorraad!C:C,verfvoorraad!D:D),IFERROR(_xlfn.XLOOKUP(IF(LEFT(UPPER(K222),4)="REV-","REV-"&amp;VALUE(MID(K222,5,99)),IF(LEN(K222)=5,LEFT(K222,2)&amp;"."&amp;RIGHT(K222,3),K222)),verfvoorraad!E:E,verfvoorraad!D:D),"Niet gevonden")))</f>
        <v/>
      </c>
      <c r="N222" t="str">
        <f>IF(K222="","",IFERROR(_xlfn.XLOOKUP(K222,verfvoorraad!C:C,verfvoorraad!E:E),IFERROR(_xlfn.XLOOKUP(IF(LEFT(UPPER(K222),4)="REV-","REV-"&amp;VALUE(MID(K222,5,99)),IF(LEN(K222)=5,LEFT(K222,2)&amp;"."&amp;RIGHT(K222,3),K222)),verfvoorraad!E:E,verfvoorraad!E:E),"Niet gevonden")))</f>
        <v/>
      </c>
      <c r="O222" t="str">
        <f>IF(K222="","",IFERROR(_xlfn.XLOOKUP(K222,verfvoorraad!C:C,verfvoorraad!F:F),IFERROR(_xlfn.XLOOKUP(IF(LEFT(UPPER(K222),4)="REV-","REV-"&amp;VALUE(MID(K222,5,99)),IF(LEN(K222)=5,LEFT(K222,2)&amp;"."&amp;RIGHT(K222,3),K222)),verfvoorraad!E:E,verfvoorraad!F:F),"Niet gevonden")))</f>
        <v/>
      </c>
      <c r="P222" t="str">
        <f>IF(K222="","",IFERROR(_xlfn.XLOOKUP(K222,verfvoorraad!C:C,verfvoorraad!G:G),IFERROR(_xlfn.XLOOKUP(IF(LEFT(UPPER(K222),4)="REV-","REV-"&amp;VALUE(MID(K222,5,99)),IF(LEN(K222)=5,LEFT(K222,2)&amp;"."&amp;RIGHT(K222,3),K222)),verfvoorraad!E:E,verfvoorraad!G:G),"Niet gevonden")))</f>
        <v/>
      </c>
      <c r="Q222" t="str">
        <f t="shared" si="6"/>
        <v/>
      </c>
      <c r="R222" t="str">
        <f t="shared" si="7"/>
        <v/>
      </c>
    </row>
    <row r="223" spans="6:18" x14ac:dyDescent="0.25">
      <c r="F223"/>
      <c r="G223" s="20"/>
      <c r="H223" s="21"/>
      <c r="K223" s="23"/>
      <c r="L223" t="str">
        <f>IF(K223="","",IFERROR(_xlfn.XLOOKUP(K223,verfvoorraad!C:C,verfvoorraad!B:B),IFERROR(_xlfn.XLOOKUP(IF(LEFT(UPPER(K223),4)="REV-","REV-"&amp;VALUE(MID(K223,5,99)),IF(LEN(K223)=5,LEFT(K223,2)&amp;"."&amp;RIGHT(K223,3),K223)),verfvoorraad!E:E,verfvoorraad!B:B),"Niet gevonden")))</f>
        <v/>
      </c>
      <c r="M223" t="str">
        <f>IF(K223="","",IFERROR(_xlfn.XLOOKUP(K223,verfvoorraad!C:C,verfvoorraad!D:D),IFERROR(_xlfn.XLOOKUP(IF(LEFT(UPPER(K223),4)="REV-","REV-"&amp;VALUE(MID(K223,5,99)),IF(LEN(K223)=5,LEFT(K223,2)&amp;"."&amp;RIGHT(K223,3),K223)),verfvoorraad!E:E,verfvoorraad!D:D),"Niet gevonden")))</f>
        <v/>
      </c>
      <c r="N223" t="str">
        <f>IF(K223="","",IFERROR(_xlfn.XLOOKUP(K223,verfvoorraad!C:C,verfvoorraad!E:E),IFERROR(_xlfn.XLOOKUP(IF(LEFT(UPPER(K223),4)="REV-","REV-"&amp;VALUE(MID(K223,5,99)),IF(LEN(K223)=5,LEFT(K223,2)&amp;"."&amp;RIGHT(K223,3),K223)),verfvoorraad!E:E,verfvoorraad!E:E),"Niet gevonden")))</f>
        <v/>
      </c>
      <c r="O223" t="str">
        <f>IF(K223="","",IFERROR(_xlfn.XLOOKUP(K223,verfvoorraad!C:C,verfvoorraad!F:F),IFERROR(_xlfn.XLOOKUP(IF(LEFT(UPPER(K223),4)="REV-","REV-"&amp;VALUE(MID(K223,5,99)),IF(LEN(K223)=5,LEFT(K223,2)&amp;"."&amp;RIGHT(K223,3),K223)),verfvoorraad!E:E,verfvoorraad!F:F),"Niet gevonden")))</f>
        <v/>
      </c>
      <c r="P223" t="str">
        <f>IF(K223="","",IFERROR(_xlfn.XLOOKUP(K223,verfvoorraad!C:C,verfvoorraad!G:G),IFERROR(_xlfn.XLOOKUP(IF(LEFT(UPPER(K223),4)="REV-","REV-"&amp;VALUE(MID(K223,5,99)),IF(LEN(K223)=5,LEFT(K223,2)&amp;"."&amp;RIGHT(K223,3),K223)),verfvoorraad!E:E,verfvoorraad!G:G),"Niet gevonden")))</f>
        <v/>
      </c>
      <c r="Q223" t="str">
        <f t="shared" si="6"/>
        <v/>
      </c>
      <c r="R223" t="str">
        <f t="shared" si="7"/>
        <v/>
      </c>
    </row>
    <row r="224" spans="6:18" x14ac:dyDescent="0.25">
      <c r="F224"/>
      <c r="G224" s="20"/>
      <c r="H224" s="21"/>
      <c r="K224" s="23"/>
      <c r="L224" t="str">
        <f>IF(K224="","",IFERROR(_xlfn.XLOOKUP(K224,verfvoorraad!C:C,verfvoorraad!B:B),IFERROR(_xlfn.XLOOKUP(IF(LEFT(UPPER(K224),4)="REV-","REV-"&amp;VALUE(MID(K224,5,99)),IF(LEN(K224)=5,LEFT(K224,2)&amp;"."&amp;RIGHT(K224,3),K224)),verfvoorraad!E:E,verfvoorraad!B:B),"Niet gevonden")))</f>
        <v/>
      </c>
      <c r="M224" t="str">
        <f>IF(K224="","",IFERROR(_xlfn.XLOOKUP(K224,verfvoorraad!C:C,verfvoorraad!D:D),IFERROR(_xlfn.XLOOKUP(IF(LEFT(UPPER(K224),4)="REV-","REV-"&amp;VALUE(MID(K224,5,99)),IF(LEN(K224)=5,LEFT(K224,2)&amp;"."&amp;RIGHT(K224,3),K224)),verfvoorraad!E:E,verfvoorraad!D:D),"Niet gevonden")))</f>
        <v/>
      </c>
      <c r="N224" t="str">
        <f>IF(K224="","",IFERROR(_xlfn.XLOOKUP(K224,verfvoorraad!C:C,verfvoorraad!E:E),IFERROR(_xlfn.XLOOKUP(IF(LEFT(UPPER(K224),4)="REV-","REV-"&amp;VALUE(MID(K224,5,99)),IF(LEN(K224)=5,LEFT(K224,2)&amp;"."&amp;RIGHT(K224,3),K224)),verfvoorraad!E:E,verfvoorraad!E:E),"Niet gevonden")))</f>
        <v/>
      </c>
      <c r="O224" t="str">
        <f>IF(K224="","",IFERROR(_xlfn.XLOOKUP(K224,verfvoorraad!C:C,verfvoorraad!F:F),IFERROR(_xlfn.XLOOKUP(IF(LEFT(UPPER(K224),4)="REV-","REV-"&amp;VALUE(MID(K224,5,99)),IF(LEN(K224)=5,LEFT(K224,2)&amp;"."&amp;RIGHT(K224,3),K224)),verfvoorraad!E:E,verfvoorraad!F:F),"Niet gevonden")))</f>
        <v/>
      </c>
      <c r="P224" t="str">
        <f>IF(K224="","",IFERROR(_xlfn.XLOOKUP(K224,verfvoorraad!C:C,verfvoorraad!G:G),IFERROR(_xlfn.XLOOKUP(IF(LEFT(UPPER(K224),4)="REV-","REV-"&amp;VALUE(MID(K224,5,99)),IF(LEN(K224)=5,LEFT(K224,2)&amp;"."&amp;RIGHT(K224,3),K224)),verfvoorraad!E:E,verfvoorraad!G:G),"Niet gevonden")))</f>
        <v/>
      </c>
      <c r="Q224" t="str">
        <f t="shared" si="6"/>
        <v/>
      </c>
      <c r="R224" t="str">
        <f t="shared" si="7"/>
        <v/>
      </c>
    </row>
    <row r="225" spans="6:18" x14ac:dyDescent="0.25">
      <c r="F225"/>
      <c r="G225" s="20"/>
      <c r="H225" s="21"/>
      <c r="K225" s="23"/>
      <c r="L225" t="str">
        <f>IF(K225="","",IFERROR(_xlfn.XLOOKUP(K225,verfvoorraad!C:C,verfvoorraad!B:B),IFERROR(_xlfn.XLOOKUP(IF(LEFT(UPPER(K225),4)="REV-","REV-"&amp;VALUE(MID(K225,5,99)),IF(LEN(K225)=5,LEFT(K225,2)&amp;"."&amp;RIGHT(K225,3),K225)),verfvoorraad!E:E,verfvoorraad!B:B),"Niet gevonden")))</f>
        <v/>
      </c>
      <c r="M225" t="str">
        <f>IF(K225="","",IFERROR(_xlfn.XLOOKUP(K225,verfvoorraad!C:C,verfvoorraad!D:D),IFERROR(_xlfn.XLOOKUP(IF(LEFT(UPPER(K225),4)="REV-","REV-"&amp;VALUE(MID(K225,5,99)),IF(LEN(K225)=5,LEFT(K225,2)&amp;"."&amp;RIGHT(K225,3),K225)),verfvoorraad!E:E,verfvoorraad!D:D),"Niet gevonden")))</f>
        <v/>
      </c>
      <c r="N225" t="str">
        <f>IF(K225="","",IFERROR(_xlfn.XLOOKUP(K225,verfvoorraad!C:C,verfvoorraad!E:E),IFERROR(_xlfn.XLOOKUP(IF(LEFT(UPPER(K225),4)="REV-","REV-"&amp;VALUE(MID(K225,5,99)),IF(LEN(K225)=5,LEFT(K225,2)&amp;"."&amp;RIGHT(K225,3),K225)),verfvoorraad!E:E,verfvoorraad!E:E),"Niet gevonden")))</f>
        <v/>
      </c>
      <c r="O225" t="str">
        <f>IF(K225="","",IFERROR(_xlfn.XLOOKUP(K225,verfvoorraad!C:C,verfvoorraad!F:F),IFERROR(_xlfn.XLOOKUP(IF(LEFT(UPPER(K225),4)="REV-","REV-"&amp;VALUE(MID(K225,5,99)),IF(LEN(K225)=5,LEFT(K225,2)&amp;"."&amp;RIGHT(K225,3),K225)),verfvoorraad!E:E,verfvoorraad!F:F),"Niet gevonden")))</f>
        <v/>
      </c>
      <c r="P225" t="str">
        <f>IF(K225="","",IFERROR(_xlfn.XLOOKUP(K225,verfvoorraad!C:C,verfvoorraad!G:G),IFERROR(_xlfn.XLOOKUP(IF(LEFT(UPPER(K225),4)="REV-","REV-"&amp;VALUE(MID(K225,5,99)),IF(LEN(K225)=5,LEFT(K225,2)&amp;"."&amp;RIGHT(K225,3),K225)),verfvoorraad!E:E,verfvoorraad!G:G),"Niet gevonden")))</f>
        <v/>
      </c>
      <c r="Q225" t="str">
        <f t="shared" si="6"/>
        <v/>
      </c>
      <c r="R225" t="str">
        <f t="shared" si="7"/>
        <v/>
      </c>
    </row>
    <row r="226" spans="6:18" x14ac:dyDescent="0.25">
      <c r="F226"/>
      <c r="G226" s="20"/>
      <c r="H226" s="21"/>
      <c r="K226" s="23"/>
      <c r="L226" t="str">
        <f>IF(K226="","",IFERROR(_xlfn.XLOOKUP(K226,verfvoorraad!C:C,verfvoorraad!B:B),IFERROR(_xlfn.XLOOKUP(IF(LEFT(UPPER(K226),4)="REV-","REV-"&amp;VALUE(MID(K226,5,99)),IF(LEN(K226)=5,LEFT(K226,2)&amp;"."&amp;RIGHT(K226,3),K226)),verfvoorraad!E:E,verfvoorraad!B:B),"Niet gevonden")))</f>
        <v/>
      </c>
      <c r="M226" t="str">
        <f>IF(K226="","",IFERROR(_xlfn.XLOOKUP(K226,verfvoorraad!C:C,verfvoorraad!D:D),IFERROR(_xlfn.XLOOKUP(IF(LEFT(UPPER(K226),4)="REV-","REV-"&amp;VALUE(MID(K226,5,99)),IF(LEN(K226)=5,LEFT(K226,2)&amp;"."&amp;RIGHT(K226,3),K226)),verfvoorraad!E:E,verfvoorraad!D:D),"Niet gevonden")))</f>
        <v/>
      </c>
      <c r="N226" t="str">
        <f>IF(K226="","",IFERROR(_xlfn.XLOOKUP(K226,verfvoorraad!C:C,verfvoorraad!E:E),IFERROR(_xlfn.XLOOKUP(IF(LEFT(UPPER(K226),4)="REV-","REV-"&amp;VALUE(MID(K226,5,99)),IF(LEN(K226)=5,LEFT(K226,2)&amp;"."&amp;RIGHT(K226,3),K226)),verfvoorraad!E:E,verfvoorraad!E:E),"Niet gevonden")))</f>
        <v/>
      </c>
      <c r="O226" t="str">
        <f>IF(K226="","",IFERROR(_xlfn.XLOOKUP(K226,verfvoorraad!C:C,verfvoorraad!F:F),IFERROR(_xlfn.XLOOKUP(IF(LEFT(UPPER(K226),4)="REV-","REV-"&amp;VALUE(MID(K226,5,99)),IF(LEN(K226)=5,LEFT(K226,2)&amp;"."&amp;RIGHT(K226,3),K226)),verfvoorraad!E:E,verfvoorraad!F:F),"Niet gevonden")))</f>
        <v/>
      </c>
      <c r="P226" t="str">
        <f>IF(K226="","",IFERROR(_xlfn.XLOOKUP(K226,verfvoorraad!C:C,verfvoorraad!G:G),IFERROR(_xlfn.XLOOKUP(IF(LEFT(UPPER(K226),4)="REV-","REV-"&amp;VALUE(MID(K226,5,99)),IF(LEN(K226)=5,LEFT(K226,2)&amp;"."&amp;RIGHT(K226,3),K226)),verfvoorraad!E:E,verfvoorraad!G:G),"Niet gevonden")))</f>
        <v/>
      </c>
      <c r="Q226" t="str">
        <f t="shared" si="6"/>
        <v/>
      </c>
      <c r="R226" t="str">
        <f t="shared" si="7"/>
        <v/>
      </c>
    </row>
    <row r="227" spans="6:18" x14ac:dyDescent="0.25">
      <c r="F227"/>
      <c r="G227" s="20"/>
      <c r="H227" s="21"/>
      <c r="K227" s="23"/>
      <c r="L227" t="str">
        <f>IF(K227="","",IFERROR(_xlfn.XLOOKUP(K227,verfvoorraad!C:C,verfvoorraad!B:B),IFERROR(_xlfn.XLOOKUP(IF(LEFT(UPPER(K227),4)="REV-","REV-"&amp;VALUE(MID(K227,5,99)),IF(LEN(K227)=5,LEFT(K227,2)&amp;"."&amp;RIGHT(K227,3),K227)),verfvoorraad!E:E,verfvoorraad!B:B),"Niet gevonden")))</f>
        <v/>
      </c>
      <c r="M227" t="str">
        <f>IF(K227="","",IFERROR(_xlfn.XLOOKUP(K227,verfvoorraad!C:C,verfvoorraad!D:D),IFERROR(_xlfn.XLOOKUP(IF(LEFT(UPPER(K227),4)="REV-","REV-"&amp;VALUE(MID(K227,5,99)),IF(LEN(K227)=5,LEFT(K227,2)&amp;"."&amp;RIGHT(K227,3),K227)),verfvoorraad!E:E,verfvoorraad!D:D),"Niet gevonden")))</f>
        <v/>
      </c>
      <c r="N227" t="str">
        <f>IF(K227="","",IFERROR(_xlfn.XLOOKUP(K227,verfvoorraad!C:C,verfvoorraad!E:E),IFERROR(_xlfn.XLOOKUP(IF(LEFT(UPPER(K227),4)="REV-","REV-"&amp;VALUE(MID(K227,5,99)),IF(LEN(K227)=5,LEFT(K227,2)&amp;"."&amp;RIGHT(K227,3),K227)),verfvoorraad!E:E,verfvoorraad!E:E),"Niet gevonden")))</f>
        <v/>
      </c>
      <c r="O227" t="str">
        <f>IF(K227="","",IFERROR(_xlfn.XLOOKUP(K227,verfvoorraad!C:C,verfvoorraad!F:F),IFERROR(_xlfn.XLOOKUP(IF(LEFT(UPPER(K227),4)="REV-","REV-"&amp;VALUE(MID(K227,5,99)),IF(LEN(K227)=5,LEFT(K227,2)&amp;"."&amp;RIGHT(K227,3),K227)),verfvoorraad!E:E,verfvoorraad!F:F),"Niet gevonden")))</f>
        <v/>
      </c>
      <c r="P227" t="str">
        <f>IF(K227="","",IFERROR(_xlfn.XLOOKUP(K227,verfvoorraad!C:C,verfvoorraad!G:G),IFERROR(_xlfn.XLOOKUP(IF(LEFT(UPPER(K227),4)="REV-","REV-"&amp;VALUE(MID(K227,5,99)),IF(LEN(K227)=5,LEFT(K227,2)&amp;"."&amp;RIGHT(K227,3),K227)),verfvoorraad!E:E,verfvoorraad!G:G),"Niet gevonden")))</f>
        <v/>
      </c>
      <c r="Q227" t="str">
        <f t="shared" si="6"/>
        <v/>
      </c>
      <c r="R227" t="str">
        <f t="shared" si="7"/>
        <v/>
      </c>
    </row>
    <row r="228" spans="6:18" x14ac:dyDescent="0.25">
      <c r="F228"/>
      <c r="G228" s="20"/>
      <c r="H228" s="21"/>
      <c r="K228" s="23"/>
      <c r="L228" t="str">
        <f>IF(K228="","",IFERROR(_xlfn.XLOOKUP(K228,verfvoorraad!C:C,verfvoorraad!B:B),IFERROR(_xlfn.XLOOKUP(IF(LEFT(UPPER(K228),4)="REV-","REV-"&amp;VALUE(MID(K228,5,99)),IF(LEN(K228)=5,LEFT(K228,2)&amp;"."&amp;RIGHT(K228,3),K228)),verfvoorraad!E:E,verfvoorraad!B:B),"Niet gevonden")))</f>
        <v/>
      </c>
      <c r="M228" t="str">
        <f>IF(K228="","",IFERROR(_xlfn.XLOOKUP(K228,verfvoorraad!C:C,verfvoorraad!D:D),IFERROR(_xlfn.XLOOKUP(IF(LEFT(UPPER(K228),4)="REV-","REV-"&amp;VALUE(MID(K228,5,99)),IF(LEN(K228)=5,LEFT(K228,2)&amp;"."&amp;RIGHT(K228,3),K228)),verfvoorraad!E:E,verfvoorraad!D:D),"Niet gevonden")))</f>
        <v/>
      </c>
      <c r="N228" t="str">
        <f>IF(K228="","",IFERROR(_xlfn.XLOOKUP(K228,verfvoorraad!C:C,verfvoorraad!E:E),IFERROR(_xlfn.XLOOKUP(IF(LEFT(UPPER(K228),4)="REV-","REV-"&amp;VALUE(MID(K228,5,99)),IF(LEN(K228)=5,LEFT(K228,2)&amp;"."&amp;RIGHT(K228,3),K228)),verfvoorraad!E:E,verfvoorraad!E:E),"Niet gevonden")))</f>
        <v/>
      </c>
      <c r="O228" t="str">
        <f>IF(K228="","",IFERROR(_xlfn.XLOOKUP(K228,verfvoorraad!C:C,verfvoorraad!F:F),IFERROR(_xlfn.XLOOKUP(IF(LEFT(UPPER(K228),4)="REV-","REV-"&amp;VALUE(MID(K228,5,99)),IF(LEN(K228)=5,LEFT(K228,2)&amp;"."&amp;RIGHT(K228,3),K228)),verfvoorraad!E:E,verfvoorraad!F:F),"Niet gevonden")))</f>
        <v/>
      </c>
      <c r="P228" t="str">
        <f>IF(K228="","",IFERROR(_xlfn.XLOOKUP(K228,verfvoorraad!C:C,verfvoorraad!G:G),IFERROR(_xlfn.XLOOKUP(IF(LEFT(UPPER(K228),4)="REV-","REV-"&amp;VALUE(MID(K228,5,99)),IF(LEN(K228)=5,LEFT(K228,2)&amp;"."&amp;RIGHT(K228,3),K228)),verfvoorraad!E:E,verfvoorraad!G:G),"Niet gevonden")))</f>
        <v/>
      </c>
      <c r="Q228" t="str">
        <f t="shared" si="6"/>
        <v/>
      </c>
      <c r="R228" t="str">
        <f t="shared" si="7"/>
        <v/>
      </c>
    </row>
    <row r="229" spans="6:18" x14ac:dyDescent="0.25">
      <c r="F229"/>
      <c r="G229" s="20"/>
      <c r="H229" s="21"/>
      <c r="K229" s="23"/>
      <c r="L229" t="str">
        <f>IF(K229="","",IFERROR(_xlfn.XLOOKUP(K229,verfvoorraad!C:C,verfvoorraad!B:B),IFERROR(_xlfn.XLOOKUP(IF(LEFT(UPPER(K229),4)="REV-","REV-"&amp;VALUE(MID(K229,5,99)),IF(LEN(K229)=5,LEFT(K229,2)&amp;"."&amp;RIGHT(K229,3),K229)),verfvoorraad!E:E,verfvoorraad!B:B),"Niet gevonden")))</f>
        <v/>
      </c>
      <c r="M229" t="str">
        <f>IF(K229="","",IFERROR(_xlfn.XLOOKUP(K229,verfvoorraad!C:C,verfvoorraad!D:D),IFERROR(_xlfn.XLOOKUP(IF(LEFT(UPPER(K229),4)="REV-","REV-"&amp;VALUE(MID(K229,5,99)),IF(LEN(K229)=5,LEFT(K229,2)&amp;"."&amp;RIGHT(K229,3),K229)),verfvoorraad!E:E,verfvoorraad!D:D),"Niet gevonden")))</f>
        <v/>
      </c>
      <c r="N229" t="str">
        <f>IF(K229="","",IFERROR(_xlfn.XLOOKUP(K229,verfvoorraad!C:C,verfvoorraad!E:E),IFERROR(_xlfn.XLOOKUP(IF(LEFT(UPPER(K229),4)="REV-","REV-"&amp;VALUE(MID(K229,5,99)),IF(LEN(K229)=5,LEFT(K229,2)&amp;"."&amp;RIGHT(K229,3),K229)),verfvoorraad!E:E,verfvoorraad!E:E),"Niet gevonden")))</f>
        <v/>
      </c>
      <c r="O229" t="str">
        <f>IF(K229="","",IFERROR(_xlfn.XLOOKUP(K229,verfvoorraad!C:C,verfvoorraad!F:F),IFERROR(_xlfn.XLOOKUP(IF(LEFT(UPPER(K229),4)="REV-","REV-"&amp;VALUE(MID(K229,5,99)),IF(LEN(K229)=5,LEFT(K229,2)&amp;"."&amp;RIGHT(K229,3),K229)),verfvoorraad!E:E,verfvoorraad!F:F),"Niet gevonden")))</f>
        <v/>
      </c>
      <c r="P229" t="str">
        <f>IF(K229="","",IFERROR(_xlfn.XLOOKUP(K229,verfvoorraad!C:C,verfvoorraad!G:G),IFERROR(_xlfn.XLOOKUP(IF(LEFT(UPPER(K229),4)="REV-","REV-"&amp;VALUE(MID(K229,5,99)),IF(LEN(K229)=5,LEFT(K229,2)&amp;"."&amp;RIGHT(K229,3),K229)),verfvoorraad!E:E,verfvoorraad!G:G),"Niet gevonden")))</f>
        <v/>
      </c>
      <c r="Q229" t="str">
        <f t="shared" si="6"/>
        <v/>
      </c>
      <c r="R229" t="str">
        <f t="shared" si="7"/>
        <v/>
      </c>
    </row>
    <row r="230" spans="6:18" x14ac:dyDescent="0.25">
      <c r="F230"/>
      <c r="G230" s="20"/>
      <c r="H230" s="21"/>
      <c r="K230" s="23"/>
      <c r="L230" t="str">
        <f>IF(K230="","",IFERROR(_xlfn.XLOOKUP(K230,verfvoorraad!C:C,verfvoorraad!B:B),IFERROR(_xlfn.XLOOKUP(IF(LEFT(UPPER(K230),4)="REV-","REV-"&amp;VALUE(MID(K230,5,99)),IF(LEN(K230)=5,LEFT(K230,2)&amp;"."&amp;RIGHT(K230,3),K230)),verfvoorraad!E:E,verfvoorraad!B:B),"Niet gevonden")))</f>
        <v/>
      </c>
      <c r="M230" t="str">
        <f>IF(K230="","",IFERROR(_xlfn.XLOOKUP(K230,verfvoorraad!C:C,verfvoorraad!D:D),IFERROR(_xlfn.XLOOKUP(IF(LEFT(UPPER(K230),4)="REV-","REV-"&amp;VALUE(MID(K230,5,99)),IF(LEN(K230)=5,LEFT(K230,2)&amp;"."&amp;RIGHT(K230,3),K230)),verfvoorraad!E:E,verfvoorraad!D:D),"Niet gevonden")))</f>
        <v/>
      </c>
      <c r="N230" t="str">
        <f>IF(K230="","",IFERROR(_xlfn.XLOOKUP(K230,verfvoorraad!C:C,verfvoorraad!E:E),IFERROR(_xlfn.XLOOKUP(IF(LEFT(UPPER(K230),4)="REV-","REV-"&amp;VALUE(MID(K230,5,99)),IF(LEN(K230)=5,LEFT(K230,2)&amp;"."&amp;RIGHT(K230,3),K230)),verfvoorraad!E:E,verfvoorraad!E:E),"Niet gevonden")))</f>
        <v/>
      </c>
      <c r="O230" t="str">
        <f>IF(K230="","",IFERROR(_xlfn.XLOOKUP(K230,verfvoorraad!C:C,verfvoorraad!F:F),IFERROR(_xlfn.XLOOKUP(IF(LEFT(UPPER(K230),4)="REV-","REV-"&amp;VALUE(MID(K230,5,99)),IF(LEN(K230)=5,LEFT(K230,2)&amp;"."&amp;RIGHT(K230,3),K230)),verfvoorraad!E:E,verfvoorraad!F:F),"Niet gevonden")))</f>
        <v/>
      </c>
      <c r="P230" t="str">
        <f>IF(K230="","",IFERROR(_xlfn.XLOOKUP(K230,verfvoorraad!C:C,verfvoorraad!G:G),IFERROR(_xlfn.XLOOKUP(IF(LEFT(UPPER(K230),4)="REV-","REV-"&amp;VALUE(MID(K230,5,99)),IF(LEN(K230)=5,LEFT(K230,2)&amp;"."&amp;RIGHT(K230,3),K230)),verfvoorraad!E:E,verfvoorraad!G:G),"Niet gevonden")))</f>
        <v/>
      </c>
      <c r="Q230" t="str">
        <f t="shared" si="6"/>
        <v/>
      </c>
      <c r="R230" t="str">
        <f t="shared" si="7"/>
        <v/>
      </c>
    </row>
    <row r="231" spans="6:18" x14ac:dyDescent="0.25">
      <c r="F231"/>
      <c r="G231" s="20"/>
      <c r="H231" s="21"/>
      <c r="K231" s="23"/>
      <c r="L231" t="str">
        <f>IF(K231="","",IFERROR(_xlfn.XLOOKUP(K231,verfvoorraad!C:C,verfvoorraad!B:B),IFERROR(_xlfn.XLOOKUP(IF(LEFT(UPPER(K231),4)="REV-","REV-"&amp;VALUE(MID(K231,5,99)),IF(LEN(K231)=5,LEFT(K231,2)&amp;"."&amp;RIGHT(K231,3),K231)),verfvoorraad!E:E,verfvoorraad!B:B),"Niet gevonden")))</f>
        <v/>
      </c>
      <c r="M231" t="str">
        <f>IF(K231="","",IFERROR(_xlfn.XLOOKUP(K231,verfvoorraad!C:C,verfvoorraad!D:D),IFERROR(_xlfn.XLOOKUP(IF(LEFT(UPPER(K231),4)="REV-","REV-"&amp;VALUE(MID(K231,5,99)),IF(LEN(K231)=5,LEFT(K231,2)&amp;"."&amp;RIGHT(K231,3),K231)),verfvoorraad!E:E,verfvoorraad!D:D),"Niet gevonden")))</f>
        <v/>
      </c>
      <c r="N231" t="str">
        <f>IF(K231="","",IFERROR(_xlfn.XLOOKUP(K231,verfvoorraad!C:C,verfvoorraad!E:E),IFERROR(_xlfn.XLOOKUP(IF(LEFT(UPPER(K231),4)="REV-","REV-"&amp;VALUE(MID(K231,5,99)),IF(LEN(K231)=5,LEFT(K231,2)&amp;"."&amp;RIGHT(K231,3),K231)),verfvoorraad!E:E,verfvoorraad!E:E),"Niet gevonden")))</f>
        <v/>
      </c>
      <c r="O231" t="str">
        <f>IF(K231="","",IFERROR(_xlfn.XLOOKUP(K231,verfvoorraad!C:C,verfvoorraad!F:F),IFERROR(_xlfn.XLOOKUP(IF(LEFT(UPPER(K231),4)="REV-","REV-"&amp;VALUE(MID(K231,5,99)),IF(LEN(K231)=5,LEFT(K231,2)&amp;"."&amp;RIGHT(K231,3),K231)),verfvoorraad!E:E,verfvoorraad!F:F),"Niet gevonden")))</f>
        <v/>
      </c>
      <c r="P231" t="str">
        <f>IF(K231="","",IFERROR(_xlfn.XLOOKUP(K231,verfvoorraad!C:C,verfvoorraad!G:G),IFERROR(_xlfn.XLOOKUP(IF(LEFT(UPPER(K231),4)="REV-","REV-"&amp;VALUE(MID(K231,5,99)),IF(LEN(K231)=5,LEFT(K231,2)&amp;"."&amp;RIGHT(K231,3),K231)),verfvoorraad!E:E,verfvoorraad!G:G),"Niet gevonden")))</f>
        <v/>
      </c>
      <c r="Q231" t="str">
        <f t="shared" si="6"/>
        <v/>
      </c>
      <c r="R231" t="str">
        <f t="shared" si="7"/>
        <v/>
      </c>
    </row>
    <row r="232" spans="6:18" x14ac:dyDescent="0.25">
      <c r="F232"/>
      <c r="G232" s="20"/>
      <c r="H232" s="21"/>
      <c r="K232" s="23"/>
      <c r="L232" t="str">
        <f>IF(K232="","",IFERROR(_xlfn.XLOOKUP(K232,verfvoorraad!C:C,verfvoorraad!B:B),IFERROR(_xlfn.XLOOKUP(IF(LEFT(UPPER(K232),4)="REV-","REV-"&amp;VALUE(MID(K232,5,99)),IF(LEN(K232)=5,LEFT(K232,2)&amp;"."&amp;RIGHT(K232,3),K232)),verfvoorraad!E:E,verfvoorraad!B:B),"Niet gevonden")))</f>
        <v/>
      </c>
      <c r="M232" t="str">
        <f>IF(K232="","",IFERROR(_xlfn.XLOOKUP(K232,verfvoorraad!C:C,verfvoorraad!D:D),IFERROR(_xlfn.XLOOKUP(IF(LEFT(UPPER(K232),4)="REV-","REV-"&amp;VALUE(MID(K232,5,99)),IF(LEN(K232)=5,LEFT(K232,2)&amp;"."&amp;RIGHT(K232,3),K232)),verfvoorraad!E:E,verfvoorraad!D:D),"Niet gevonden")))</f>
        <v/>
      </c>
      <c r="N232" t="str">
        <f>IF(K232="","",IFERROR(_xlfn.XLOOKUP(K232,verfvoorraad!C:C,verfvoorraad!E:E),IFERROR(_xlfn.XLOOKUP(IF(LEFT(UPPER(K232),4)="REV-","REV-"&amp;VALUE(MID(K232,5,99)),IF(LEN(K232)=5,LEFT(K232,2)&amp;"."&amp;RIGHT(K232,3),K232)),verfvoorraad!E:E,verfvoorraad!E:E),"Niet gevonden")))</f>
        <v/>
      </c>
      <c r="O232" t="str">
        <f>IF(K232="","",IFERROR(_xlfn.XLOOKUP(K232,verfvoorraad!C:C,verfvoorraad!F:F),IFERROR(_xlfn.XLOOKUP(IF(LEFT(UPPER(K232),4)="REV-","REV-"&amp;VALUE(MID(K232,5,99)),IF(LEN(K232)=5,LEFT(K232,2)&amp;"."&amp;RIGHT(K232,3),K232)),verfvoorraad!E:E,verfvoorraad!F:F),"Niet gevonden")))</f>
        <v/>
      </c>
      <c r="P232" t="str">
        <f>IF(K232="","",IFERROR(_xlfn.XLOOKUP(K232,verfvoorraad!C:C,verfvoorraad!G:G),IFERROR(_xlfn.XLOOKUP(IF(LEFT(UPPER(K232),4)="REV-","REV-"&amp;VALUE(MID(K232,5,99)),IF(LEN(K232)=5,LEFT(K232,2)&amp;"."&amp;RIGHT(K232,3),K232)),verfvoorraad!E:E,verfvoorraad!G:G),"Niet gevonden")))</f>
        <v/>
      </c>
      <c r="Q232" t="str">
        <f t="shared" si="6"/>
        <v/>
      </c>
      <c r="R232" t="str">
        <f t="shared" si="7"/>
        <v/>
      </c>
    </row>
    <row r="233" spans="6:18" x14ac:dyDescent="0.25">
      <c r="F233"/>
      <c r="G233" s="20"/>
      <c r="H233" s="21"/>
      <c r="K233" s="23"/>
      <c r="L233" t="str">
        <f>IF(K233="","",IFERROR(_xlfn.XLOOKUP(K233,verfvoorraad!C:C,verfvoorraad!B:B),IFERROR(_xlfn.XLOOKUP(IF(LEFT(UPPER(K233),4)="REV-","REV-"&amp;VALUE(MID(K233,5,99)),IF(LEN(K233)=5,LEFT(K233,2)&amp;"."&amp;RIGHT(K233,3),K233)),verfvoorraad!E:E,verfvoorraad!B:B),"Niet gevonden")))</f>
        <v/>
      </c>
      <c r="M233" t="str">
        <f>IF(K233="","",IFERROR(_xlfn.XLOOKUP(K233,verfvoorraad!C:C,verfvoorraad!D:D),IFERROR(_xlfn.XLOOKUP(IF(LEFT(UPPER(K233),4)="REV-","REV-"&amp;VALUE(MID(K233,5,99)),IF(LEN(K233)=5,LEFT(K233,2)&amp;"."&amp;RIGHT(K233,3),K233)),verfvoorraad!E:E,verfvoorraad!D:D),"Niet gevonden")))</f>
        <v/>
      </c>
      <c r="N233" t="str">
        <f>IF(K233="","",IFERROR(_xlfn.XLOOKUP(K233,verfvoorraad!C:C,verfvoorraad!E:E),IFERROR(_xlfn.XLOOKUP(IF(LEFT(UPPER(K233),4)="REV-","REV-"&amp;VALUE(MID(K233,5,99)),IF(LEN(K233)=5,LEFT(K233,2)&amp;"."&amp;RIGHT(K233,3),K233)),verfvoorraad!E:E,verfvoorraad!E:E),"Niet gevonden")))</f>
        <v/>
      </c>
      <c r="O233" t="str">
        <f>IF(K233="","",IFERROR(_xlfn.XLOOKUP(K233,verfvoorraad!C:C,verfvoorraad!F:F),IFERROR(_xlfn.XLOOKUP(IF(LEFT(UPPER(K233),4)="REV-","REV-"&amp;VALUE(MID(K233,5,99)),IF(LEN(K233)=5,LEFT(K233,2)&amp;"."&amp;RIGHT(K233,3),K233)),verfvoorraad!E:E,verfvoorraad!F:F),"Niet gevonden")))</f>
        <v/>
      </c>
      <c r="P233" t="str">
        <f>IF(K233="","",IFERROR(_xlfn.XLOOKUP(K233,verfvoorraad!C:C,verfvoorraad!G:G),IFERROR(_xlfn.XLOOKUP(IF(LEFT(UPPER(K233),4)="REV-","REV-"&amp;VALUE(MID(K233,5,99)),IF(LEN(K233)=5,LEFT(K233,2)&amp;"."&amp;RIGHT(K233,3),K233)),verfvoorraad!E:E,verfvoorraad!G:G),"Niet gevonden")))</f>
        <v/>
      </c>
      <c r="Q233" t="str">
        <f t="shared" si="6"/>
        <v/>
      </c>
      <c r="R233" t="str">
        <f t="shared" si="7"/>
        <v/>
      </c>
    </row>
    <row r="234" spans="6:18" x14ac:dyDescent="0.25">
      <c r="F234"/>
      <c r="G234" s="20"/>
      <c r="H234" s="21"/>
      <c r="K234" s="23"/>
      <c r="L234" t="str">
        <f>IF(K234="","",IFERROR(_xlfn.XLOOKUP(K234,verfvoorraad!C:C,verfvoorraad!B:B),IFERROR(_xlfn.XLOOKUP(IF(LEFT(UPPER(K234),4)="REV-","REV-"&amp;VALUE(MID(K234,5,99)),IF(LEN(K234)=5,LEFT(K234,2)&amp;"."&amp;RIGHT(K234,3),K234)),verfvoorraad!E:E,verfvoorraad!B:B),"Niet gevonden")))</f>
        <v/>
      </c>
      <c r="M234" t="str">
        <f>IF(K234="","",IFERROR(_xlfn.XLOOKUP(K234,verfvoorraad!C:C,verfvoorraad!D:D),IFERROR(_xlfn.XLOOKUP(IF(LEFT(UPPER(K234),4)="REV-","REV-"&amp;VALUE(MID(K234,5,99)),IF(LEN(K234)=5,LEFT(K234,2)&amp;"."&amp;RIGHT(K234,3),K234)),verfvoorraad!E:E,verfvoorraad!D:D),"Niet gevonden")))</f>
        <v/>
      </c>
      <c r="N234" t="str">
        <f>IF(K234="","",IFERROR(_xlfn.XLOOKUP(K234,verfvoorraad!C:C,verfvoorraad!E:E),IFERROR(_xlfn.XLOOKUP(IF(LEFT(UPPER(K234),4)="REV-","REV-"&amp;VALUE(MID(K234,5,99)),IF(LEN(K234)=5,LEFT(K234,2)&amp;"."&amp;RIGHT(K234,3),K234)),verfvoorraad!E:E,verfvoorraad!E:E),"Niet gevonden")))</f>
        <v/>
      </c>
      <c r="O234" t="str">
        <f>IF(K234="","",IFERROR(_xlfn.XLOOKUP(K234,verfvoorraad!C:C,verfvoorraad!F:F),IFERROR(_xlfn.XLOOKUP(IF(LEFT(UPPER(K234),4)="REV-","REV-"&amp;VALUE(MID(K234,5,99)),IF(LEN(K234)=5,LEFT(K234,2)&amp;"."&amp;RIGHT(K234,3),K234)),verfvoorraad!E:E,verfvoorraad!F:F),"Niet gevonden")))</f>
        <v/>
      </c>
      <c r="P234" t="str">
        <f>IF(K234="","",IFERROR(_xlfn.XLOOKUP(K234,verfvoorraad!C:C,verfvoorraad!G:G),IFERROR(_xlfn.XLOOKUP(IF(LEFT(UPPER(K234),4)="REV-","REV-"&amp;VALUE(MID(K234,5,99)),IF(LEN(K234)=5,LEFT(K234,2)&amp;"."&amp;RIGHT(K234,3),K234)),verfvoorraad!E:E,verfvoorraad!G:G),"Niet gevonden")))</f>
        <v/>
      </c>
      <c r="Q234" t="str">
        <f t="shared" si="6"/>
        <v/>
      </c>
      <c r="R234" t="str">
        <f t="shared" si="7"/>
        <v/>
      </c>
    </row>
    <row r="235" spans="6:18" x14ac:dyDescent="0.25">
      <c r="F235"/>
      <c r="G235" s="20"/>
      <c r="H235" s="21"/>
      <c r="K235" s="23"/>
      <c r="L235" t="str">
        <f>IF(K235="","",IFERROR(_xlfn.XLOOKUP(K235,verfvoorraad!C:C,verfvoorraad!B:B),IFERROR(_xlfn.XLOOKUP(IF(LEFT(UPPER(K235),4)="REV-","REV-"&amp;VALUE(MID(K235,5,99)),IF(LEN(K235)=5,LEFT(K235,2)&amp;"."&amp;RIGHT(K235,3),K235)),verfvoorraad!E:E,verfvoorraad!B:B),"Niet gevonden")))</f>
        <v/>
      </c>
      <c r="M235" t="str">
        <f>IF(K235="","",IFERROR(_xlfn.XLOOKUP(K235,verfvoorraad!C:C,verfvoorraad!D:D),IFERROR(_xlfn.XLOOKUP(IF(LEFT(UPPER(K235),4)="REV-","REV-"&amp;VALUE(MID(K235,5,99)),IF(LEN(K235)=5,LEFT(K235,2)&amp;"."&amp;RIGHT(K235,3),K235)),verfvoorraad!E:E,verfvoorraad!D:D),"Niet gevonden")))</f>
        <v/>
      </c>
      <c r="N235" t="str">
        <f>IF(K235="","",IFERROR(_xlfn.XLOOKUP(K235,verfvoorraad!C:C,verfvoorraad!E:E),IFERROR(_xlfn.XLOOKUP(IF(LEFT(UPPER(K235),4)="REV-","REV-"&amp;VALUE(MID(K235,5,99)),IF(LEN(K235)=5,LEFT(K235,2)&amp;"."&amp;RIGHT(K235,3),K235)),verfvoorraad!E:E,verfvoorraad!E:E),"Niet gevonden")))</f>
        <v/>
      </c>
      <c r="O235" t="str">
        <f>IF(K235="","",IFERROR(_xlfn.XLOOKUP(K235,verfvoorraad!C:C,verfvoorraad!F:F),IFERROR(_xlfn.XLOOKUP(IF(LEFT(UPPER(K235),4)="REV-","REV-"&amp;VALUE(MID(K235,5,99)),IF(LEN(K235)=5,LEFT(K235,2)&amp;"."&amp;RIGHT(K235,3),K235)),verfvoorraad!E:E,verfvoorraad!F:F),"Niet gevonden")))</f>
        <v/>
      </c>
      <c r="P235" t="str">
        <f>IF(K235="","",IFERROR(_xlfn.XLOOKUP(K235,verfvoorraad!C:C,verfvoorraad!G:G),IFERROR(_xlfn.XLOOKUP(IF(LEFT(UPPER(K235),4)="REV-","REV-"&amp;VALUE(MID(K235,5,99)),IF(LEN(K235)=5,LEFT(K235,2)&amp;"."&amp;RIGHT(K235,3),K235)),verfvoorraad!E:E,verfvoorraad!G:G),"Niet gevonden")))</f>
        <v/>
      </c>
      <c r="Q235" t="str">
        <f t="shared" si="6"/>
        <v/>
      </c>
      <c r="R235" t="str">
        <f t="shared" si="7"/>
        <v/>
      </c>
    </row>
    <row r="236" spans="6:18" x14ac:dyDescent="0.25">
      <c r="F236"/>
      <c r="G236" s="20"/>
      <c r="H236" s="21"/>
      <c r="K236" s="23"/>
      <c r="L236" t="str">
        <f>IF(K236="","",IFERROR(_xlfn.XLOOKUP(K236,verfvoorraad!C:C,verfvoorraad!B:B),IFERROR(_xlfn.XLOOKUP(IF(LEFT(UPPER(K236),4)="REV-","REV-"&amp;VALUE(MID(K236,5,99)),IF(LEN(K236)=5,LEFT(K236,2)&amp;"."&amp;RIGHT(K236,3),K236)),verfvoorraad!E:E,verfvoorraad!B:B),"Niet gevonden")))</f>
        <v/>
      </c>
      <c r="M236" t="str">
        <f>IF(K236="","",IFERROR(_xlfn.XLOOKUP(K236,verfvoorraad!C:C,verfvoorraad!D:D),IFERROR(_xlfn.XLOOKUP(IF(LEFT(UPPER(K236),4)="REV-","REV-"&amp;VALUE(MID(K236,5,99)),IF(LEN(K236)=5,LEFT(K236,2)&amp;"."&amp;RIGHT(K236,3),K236)),verfvoorraad!E:E,verfvoorraad!D:D),"Niet gevonden")))</f>
        <v/>
      </c>
      <c r="N236" t="str">
        <f>IF(K236="","",IFERROR(_xlfn.XLOOKUP(K236,verfvoorraad!C:C,verfvoorraad!E:E),IFERROR(_xlfn.XLOOKUP(IF(LEFT(UPPER(K236),4)="REV-","REV-"&amp;VALUE(MID(K236,5,99)),IF(LEN(K236)=5,LEFT(K236,2)&amp;"."&amp;RIGHT(K236,3),K236)),verfvoorraad!E:E,verfvoorraad!E:E),"Niet gevonden")))</f>
        <v/>
      </c>
      <c r="O236" t="str">
        <f>IF(K236="","",IFERROR(_xlfn.XLOOKUP(K236,verfvoorraad!C:C,verfvoorraad!F:F),IFERROR(_xlfn.XLOOKUP(IF(LEFT(UPPER(K236),4)="REV-","REV-"&amp;VALUE(MID(K236,5,99)),IF(LEN(K236)=5,LEFT(K236,2)&amp;"."&amp;RIGHT(K236,3),K236)),verfvoorraad!E:E,verfvoorraad!F:F),"Niet gevonden")))</f>
        <v/>
      </c>
      <c r="P236" t="str">
        <f>IF(K236="","",IFERROR(_xlfn.XLOOKUP(K236,verfvoorraad!C:C,verfvoorraad!G:G),IFERROR(_xlfn.XLOOKUP(IF(LEFT(UPPER(K236),4)="REV-","REV-"&amp;VALUE(MID(K236,5,99)),IF(LEN(K236)=5,LEFT(K236,2)&amp;"."&amp;RIGHT(K236,3),K236)),verfvoorraad!E:E,verfvoorraad!G:G),"Niet gevonden")))</f>
        <v/>
      </c>
      <c r="Q236" t="str">
        <f t="shared" si="6"/>
        <v/>
      </c>
      <c r="R236" t="str">
        <f t="shared" si="7"/>
        <v/>
      </c>
    </row>
    <row r="237" spans="6:18" x14ac:dyDescent="0.25">
      <c r="F237"/>
      <c r="G237" s="20"/>
      <c r="H237" s="21"/>
      <c r="K237" s="23"/>
      <c r="L237" t="str">
        <f>IF(K237="","",IFERROR(_xlfn.XLOOKUP(K237,verfvoorraad!C:C,verfvoorraad!B:B),IFERROR(_xlfn.XLOOKUP(IF(LEFT(UPPER(K237),4)="REV-","REV-"&amp;VALUE(MID(K237,5,99)),IF(LEN(K237)=5,LEFT(K237,2)&amp;"."&amp;RIGHT(K237,3),K237)),verfvoorraad!E:E,verfvoorraad!B:B),"Niet gevonden")))</f>
        <v/>
      </c>
      <c r="M237" t="str">
        <f>IF(K237="","",IFERROR(_xlfn.XLOOKUP(K237,verfvoorraad!C:C,verfvoorraad!D:D),IFERROR(_xlfn.XLOOKUP(IF(LEFT(UPPER(K237),4)="REV-","REV-"&amp;VALUE(MID(K237,5,99)),IF(LEN(K237)=5,LEFT(K237,2)&amp;"."&amp;RIGHT(K237,3),K237)),verfvoorraad!E:E,verfvoorraad!D:D),"Niet gevonden")))</f>
        <v/>
      </c>
      <c r="N237" t="str">
        <f>IF(K237="","",IFERROR(_xlfn.XLOOKUP(K237,verfvoorraad!C:C,verfvoorraad!E:E),IFERROR(_xlfn.XLOOKUP(IF(LEFT(UPPER(K237),4)="REV-","REV-"&amp;VALUE(MID(K237,5,99)),IF(LEN(K237)=5,LEFT(K237,2)&amp;"."&amp;RIGHT(K237,3),K237)),verfvoorraad!E:E,verfvoorraad!E:E),"Niet gevonden")))</f>
        <v/>
      </c>
      <c r="O237" t="str">
        <f>IF(K237="","",IFERROR(_xlfn.XLOOKUP(K237,verfvoorraad!C:C,verfvoorraad!F:F),IFERROR(_xlfn.XLOOKUP(IF(LEFT(UPPER(K237),4)="REV-","REV-"&amp;VALUE(MID(K237,5,99)),IF(LEN(K237)=5,LEFT(K237,2)&amp;"."&amp;RIGHT(K237,3),K237)),verfvoorraad!E:E,verfvoorraad!F:F),"Niet gevonden")))</f>
        <v/>
      </c>
      <c r="P237" t="str">
        <f>IF(K237="","",IFERROR(_xlfn.XLOOKUP(K237,verfvoorraad!C:C,verfvoorraad!G:G),IFERROR(_xlfn.XLOOKUP(IF(LEFT(UPPER(K237),4)="REV-","REV-"&amp;VALUE(MID(K237,5,99)),IF(LEN(K237)=5,LEFT(K237,2)&amp;"."&amp;RIGHT(K237,3),K237)),verfvoorraad!E:E,verfvoorraad!G:G),"Niet gevonden")))</f>
        <v/>
      </c>
      <c r="Q237" t="str">
        <f t="shared" si="6"/>
        <v/>
      </c>
      <c r="R237" t="str">
        <f t="shared" si="7"/>
        <v/>
      </c>
    </row>
    <row r="238" spans="6:18" x14ac:dyDescent="0.25">
      <c r="F238"/>
      <c r="G238" s="20"/>
      <c r="H238" s="21"/>
      <c r="K238" s="23"/>
      <c r="L238" t="str">
        <f>IF(K238="","",IFERROR(_xlfn.XLOOKUP(K238,verfvoorraad!C:C,verfvoorraad!B:B),IFERROR(_xlfn.XLOOKUP(IF(LEFT(UPPER(K238),4)="REV-","REV-"&amp;VALUE(MID(K238,5,99)),IF(LEN(K238)=5,LEFT(K238,2)&amp;"."&amp;RIGHT(K238,3),K238)),verfvoorraad!E:E,verfvoorraad!B:B),"Niet gevonden")))</f>
        <v/>
      </c>
      <c r="M238" t="str">
        <f>IF(K238="","",IFERROR(_xlfn.XLOOKUP(K238,verfvoorraad!C:C,verfvoorraad!D:D),IFERROR(_xlfn.XLOOKUP(IF(LEFT(UPPER(K238),4)="REV-","REV-"&amp;VALUE(MID(K238,5,99)),IF(LEN(K238)=5,LEFT(K238,2)&amp;"."&amp;RIGHT(K238,3),K238)),verfvoorraad!E:E,verfvoorraad!D:D),"Niet gevonden")))</f>
        <v/>
      </c>
      <c r="N238" t="str">
        <f>IF(K238="","",IFERROR(_xlfn.XLOOKUP(K238,verfvoorraad!C:C,verfvoorraad!E:E),IFERROR(_xlfn.XLOOKUP(IF(LEFT(UPPER(K238),4)="REV-","REV-"&amp;VALUE(MID(K238,5,99)),IF(LEN(K238)=5,LEFT(K238,2)&amp;"."&amp;RIGHT(K238,3),K238)),verfvoorraad!E:E,verfvoorraad!E:E),"Niet gevonden")))</f>
        <v/>
      </c>
      <c r="O238" t="str">
        <f>IF(K238="","",IFERROR(_xlfn.XLOOKUP(K238,verfvoorraad!C:C,verfvoorraad!F:F),IFERROR(_xlfn.XLOOKUP(IF(LEFT(UPPER(K238),4)="REV-","REV-"&amp;VALUE(MID(K238,5,99)),IF(LEN(K238)=5,LEFT(K238,2)&amp;"."&amp;RIGHT(K238,3),K238)),verfvoorraad!E:E,verfvoorraad!F:F),"Niet gevonden")))</f>
        <v/>
      </c>
      <c r="P238" t="str">
        <f>IF(K238="","",IFERROR(_xlfn.XLOOKUP(K238,verfvoorraad!C:C,verfvoorraad!G:G),IFERROR(_xlfn.XLOOKUP(IF(LEFT(UPPER(K238),4)="REV-","REV-"&amp;VALUE(MID(K238,5,99)),IF(LEN(K238)=5,LEFT(K238,2)&amp;"."&amp;RIGHT(K238,3),K238)),verfvoorraad!E:E,verfvoorraad!G:G),"Niet gevonden")))</f>
        <v/>
      </c>
      <c r="Q238" t="str">
        <f t="shared" si="6"/>
        <v/>
      </c>
      <c r="R238" t="str">
        <f t="shared" si="7"/>
        <v/>
      </c>
    </row>
    <row r="239" spans="6:18" x14ac:dyDescent="0.25">
      <c r="F239"/>
      <c r="G239" s="20"/>
      <c r="H239" s="21"/>
      <c r="K239" s="23"/>
      <c r="L239" t="str">
        <f>IF(K239="","",IFERROR(_xlfn.XLOOKUP(K239,verfvoorraad!C:C,verfvoorraad!B:B),IFERROR(_xlfn.XLOOKUP(IF(LEFT(UPPER(K239),4)="REV-","REV-"&amp;VALUE(MID(K239,5,99)),IF(LEN(K239)=5,LEFT(K239,2)&amp;"."&amp;RIGHT(K239,3),K239)),verfvoorraad!E:E,verfvoorraad!B:B),"Niet gevonden")))</f>
        <v/>
      </c>
      <c r="M239" t="str">
        <f>IF(K239="","",IFERROR(_xlfn.XLOOKUP(K239,verfvoorraad!C:C,verfvoorraad!D:D),IFERROR(_xlfn.XLOOKUP(IF(LEFT(UPPER(K239),4)="REV-","REV-"&amp;VALUE(MID(K239,5,99)),IF(LEN(K239)=5,LEFT(K239,2)&amp;"."&amp;RIGHT(K239,3),K239)),verfvoorraad!E:E,verfvoorraad!D:D),"Niet gevonden")))</f>
        <v/>
      </c>
      <c r="N239" t="str">
        <f>IF(K239="","",IFERROR(_xlfn.XLOOKUP(K239,verfvoorraad!C:C,verfvoorraad!E:E),IFERROR(_xlfn.XLOOKUP(IF(LEFT(UPPER(K239),4)="REV-","REV-"&amp;VALUE(MID(K239,5,99)),IF(LEN(K239)=5,LEFT(K239,2)&amp;"."&amp;RIGHT(K239,3),K239)),verfvoorraad!E:E,verfvoorraad!E:E),"Niet gevonden")))</f>
        <v/>
      </c>
      <c r="O239" t="str">
        <f>IF(K239="","",IFERROR(_xlfn.XLOOKUP(K239,verfvoorraad!C:C,verfvoorraad!F:F),IFERROR(_xlfn.XLOOKUP(IF(LEFT(UPPER(K239),4)="REV-","REV-"&amp;VALUE(MID(K239,5,99)),IF(LEN(K239)=5,LEFT(K239,2)&amp;"."&amp;RIGHT(K239,3),K239)),verfvoorraad!E:E,verfvoorraad!F:F),"Niet gevonden")))</f>
        <v/>
      </c>
      <c r="P239" t="str">
        <f>IF(K239="","",IFERROR(_xlfn.XLOOKUP(K239,verfvoorraad!C:C,verfvoorraad!G:G),IFERROR(_xlfn.XLOOKUP(IF(LEFT(UPPER(K239),4)="REV-","REV-"&amp;VALUE(MID(K239,5,99)),IF(LEN(K239)=5,LEFT(K239,2)&amp;"."&amp;RIGHT(K239,3),K239)),verfvoorraad!E:E,verfvoorraad!G:G),"Niet gevonden")))</f>
        <v/>
      </c>
      <c r="Q239" t="str">
        <f t="shared" si="6"/>
        <v/>
      </c>
      <c r="R239" t="str">
        <f t="shared" si="7"/>
        <v/>
      </c>
    </row>
    <row r="240" spans="6:18" x14ac:dyDescent="0.25">
      <c r="F240"/>
      <c r="G240" s="20"/>
      <c r="H240" s="21"/>
      <c r="K240" s="23"/>
      <c r="L240" t="str">
        <f>IF(K240="","",IFERROR(_xlfn.XLOOKUP(K240,verfvoorraad!C:C,verfvoorraad!B:B),IFERROR(_xlfn.XLOOKUP(IF(LEFT(UPPER(K240),4)="REV-","REV-"&amp;VALUE(MID(K240,5,99)),IF(LEN(K240)=5,LEFT(K240,2)&amp;"."&amp;RIGHT(K240,3),K240)),verfvoorraad!E:E,verfvoorraad!B:B),"Niet gevonden")))</f>
        <v/>
      </c>
      <c r="M240" t="str">
        <f>IF(K240="","",IFERROR(_xlfn.XLOOKUP(K240,verfvoorraad!C:C,verfvoorraad!D:D),IFERROR(_xlfn.XLOOKUP(IF(LEFT(UPPER(K240),4)="REV-","REV-"&amp;VALUE(MID(K240,5,99)),IF(LEN(K240)=5,LEFT(K240,2)&amp;"."&amp;RIGHT(K240,3),K240)),verfvoorraad!E:E,verfvoorraad!D:D),"Niet gevonden")))</f>
        <v/>
      </c>
      <c r="N240" t="str">
        <f>IF(K240="","",IFERROR(_xlfn.XLOOKUP(K240,verfvoorraad!C:C,verfvoorraad!E:E),IFERROR(_xlfn.XLOOKUP(IF(LEFT(UPPER(K240),4)="REV-","REV-"&amp;VALUE(MID(K240,5,99)),IF(LEN(K240)=5,LEFT(K240,2)&amp;"."&amp;RIGHT(K240,3),K240)),verfvoorraad!E:E,verfvoorraad!E:E),"Niet gevonden")))</f>
        <v/>
      </c>
      <c r="O240" t="str">
        <f>IF(K240="","",IFERROR(_xlfn.XLOOKUP(K240,verfvoorraad!C:C,verfvoorraad!F:F),IFERROR(_xlfn.XLOOKUP(IF(LEFT(UPPER(K240),4)="REV-","REV-"&amp;VALUE(MID(K240,5,99)),IF(LEN(K240)=5,LEFT(K240,2)&amp;"."&amp;RIGHT(K240,3),K240)),verfvoorraad!E:E,verfvoorraad!F:F),"Niet gevonden")))</f>
        <v/>
      </c>
      <c r="P240" t="str">
        <f>IF(K240="","",IFERROR(_xlfn.XLOOKUP(K240,verfvoorraad!C:C,verfvoorraad!G:G),IFERROR(_xlfn.XLOOKUP(IF(LEFT(UPPER(K240),4)="REV-","REV-"&amp;VALUE(MID(K240,5,99)),IF(LEN(K240)=5,LEFT(K240,2)&amp;"."&amp;RIGHT(K240,3),K240)),verfvoorraad!E:E,verfvoorraad!G:G),"Niet gevonden")))</f>
        <v/>
      </c>
      <c r="Q240" t="str">
        <f t="shared" si="6"/>
        <v/>
      </c>
      <c r="R240" t="str">
        <f t="shared" si="7"/>
        <v/>
      </c>
    </row>
    <row r="241" spans="6:18" x14ac:dyDescent="0.25">
      <c r="F241"/>
      <c r="G241" s="20"/>
      <c r="H241" s="21"/>
      <c r="K241" s="23"/>
      <c r="L241" t="str">
        <f>IF(K241="","",IFERROR(_xlfn.XLOOKUP(K241,verfvoorraad!C:C,verfvoorraad!B:B),IFERROR(_xlfn.XLOOKUP(IF(LEFT(UPPER(K241),4)="REV-","REV-"&amp;VALUE(MID(K241,5,99)),IF(LEN(K241)=5,LEFT(K241,2)&amp;"."&amp;RIGHT(K241,3),K241)),verfvoorraad!E:E,verfvoorraad!B:B),"Niet gevonden")))</f>
        <v/>
      </c>
      <c r="M241" t="str">
        <f>IF(K241="","",IFERROR(_xlfn.XLOOKUP(K241,verfvoorraad!C:C,verfvoorraad!D:D),IFERROR(_xlfn.XLOOKUP(IF(LEFT(UPPER(K241),4)="REV-","REV-"&amp;VALUE(MID(K241,5,99)),IF(LEN(K241)=5,LEFT(K241,2)&amp;"."&amp;RIGHT(K241,3),K241)),verfvoorraad!E:E,verfvoorraad!D:D),"Niet gevonden")))</f>
        <v/>
      </c>
      <c r="N241" t="str">
        <f>IF(K241="","",IFERROR(_xlfn.XLOOKUP(K241,verfvoorraad!C:C,verfvoorraad!E:E),IFERROR(_xlfn.XLOOKUP(IF(LEFT(UPPER(K241),4)="REV-","REV-"&amp;VALUE(MID(K241,5,99)),IF(LEN(K241)=5,LEFT(K241,2)&amp;"."&amp;RIGHT(K241,3),K241)),verfvoorraad!E:E,verfvoorraad!E:E),"Niet gevonden")))</f>
        <v/>
      </c>
      <c r="O241" t="str">
        <f>IF(K241="","",IFERROR(_xlfn.XLOOKUP(K241,verfvoorraad!C:C,verfvoorraad!F:F),IFERROR(_xlfn.XLOOKUP(IF(LEFT(UPPER(K241),4)="REV-","REV-"&amp;VALUE(MID(K241,5,99)),IF(LEN(K241)=5,LEFT(K241,2)&amp;"."&amp;RIGHT(K241,3),K241)),verfvoorraad!E:E,verfvoorraad!F:F),"Niet gevonden")))</f>
        <v/>
      </c>
      <c r="P241" t="str">
        <f>IF(K241="","",IFERROR(_xlfn.XLOOKUP(K241,verfvoorraad!C:C,verfvoorraad!G:G),IFERROR(_xlfn.XLOOKUP(IF(LEFT(UPPER(K241),4)="REV-","REV-"&amp;VALUE(MID(K241,5,99)),IF(LEN(K241)=5,LEFT(K241,2)&amp;"."&amp;RIGHT(K241,3),K241)),verfvoorraad!E:E,verfvoorraad!G:G),"Niet gevonden")))</f>
        <v/>
      </c>
      <c r="Q241" t="str">
        <f t="shared" si="6"/>
        <v/>
      </c>
      <c r="R241" t="str">
        <f t="shared" si="7"/>
        <v/>
      </c>
    </row>
    <row r="242" spans="6:18" x14ac:dyDescent="0.25">
      <c r="F242"/>
      <c r="G242" s="20"/>
      <c r="H242" s="21"/>
      <c r="K242" s="23"/>
      <c r="L242" t="str">
        <f>IF(K242="","",IFERROR(_xlfn.XLOOKUP(K242,verfvoorraad!C:C,verfvoorraad!B:B),IFERROR(_xlfn.XLOOKUP(IF(LEFT(UPPER(K242),4)="REV-","REV-"&amp;VALUE(MID(K242,5,99)),IF(LEN(K242)=5,LEFT(K242,2)&amp;"."&amp;RIGHT(K242,3),K242)),verfvoorraad!E:E,verfvoorraad!B:B),"Niet gevonden")))</f>
        <v/>
      </c>
      <c r="M242" t="str">
        <f>IF(K242="","",IFERROR(_xlfn.XLOOKUP(K242,verfvoorraad!C:C,verfvoorraad!D:D),IFERROR(_xlfn.XLOOKUP(IF(LEFT(UPPER(K242),4)="REV-","REV-"&amp;VALUE(MID(K242,5,99)),IF(LEN(K242)=5,LEFT(K242,2)&amp;"."&amp;RIGHT(K242,3),K242)),verfvoorraad!E:E,verfvoorraad!D:D),"Niet gevonden")))</f>
        <v/>
      </c>
      <c r="N242" t="str">
        <f>IF(K242="","",IFERROR(_xlfn.XLOOKUP(K242,verfvoorraad!C:C,verfvoorraad!E:E),IFERROR(_xlfn.XLOOKUP(IF(LEFT(UPPER(K242),4)="REV-","REV-"&amp;VALUE(MID(K242,5,99)),IF(LEN(K242)=5,LEFT(K242,2)&amp;"."&amp;RIGHT(K242,3),K242)),verfvoorraad!E:E,verfvoorraad!E:E),"Niet gevonden")))</f>
        <v/>
      </c>
      <c r="O242" t="str">
        <f>IF(K242="","",IFERROR(_xlfn.XLOOKUP(K242,verfvoorraad!C:C,verfvoorraad!F:F),IFERROR(_xlfn.XLOOKUP(IF(LEFT(UPPER(K242),4)="REV-","REV-"&amp;VALUE(MID(K242,5,99)),IF(LEN(K242)=5,LEFT(K242,2)&amp;"."&amp;RIGHT(K242,3),K242)),verfvoorraad!E:E,verfvoorraad!F:F),"Niet gevonden")))</f>
        <v/>
      </c>
      <c r="P242" t="str">
        <f>IF(K242="","",IFERROR(_xlfn.XLOOKUP(K242,verfvoorraad!C:C,verfvoorraad!G:G),IFERROR(_xlfn.XLOOKUP(IF(LEFT(UPPER(K242),4)="REV-","REV-"&amp;VALUE(MID(K242,5,99)),IF(LEN(K242)=5,LEFT(K242,2)&amp;"."&amp;RIGHT(K242,3),K242)),verfvoorraad!E:E,verfvoorraad!G:G),"Niet gevonden")))</f>
        <v/>
      </c>
      <c r="Q242" t="str">
        <f t="shared" si="6"/>
        <v/>
      </c>
      <c r="R242" t="str">
        <f t="shared" si="7"/>
        <v/>
      </c>
    </row>
    <row r="243" spans="6:18" x14ac:dyDescent="0.25">
      <c r="F243"/>
      <c r="G243" s="20"/>
      <c r="H243" s="21"/>
      <c r="K243" s="23"/>
      <c r="L243" t="str">
        <f>IF(K243="","",IFERROR(_xlfn.XLOOKUP(K243,verfvoorraad!C:C,verfvoorraad!B:B),IFERROR(_xlfn.XLOOKUP(IF(LEFT(UPPER(K243),4)="REV-","REV-"&amp;VALUE(MID(K243,5,99)),IF(LEN(K243)=5,LEFT(K243,2)&amp;"."&amp;RIGHT(K243,3),K243)),verfvoorraad!E:E,verfvoorraad!B:B),"Niet gevonden")))</f>
        <v/>
      </c>
      <c r="M243" t="str">
        <f>IF(K243="","",IFERROR(_xlfn.XLOOKUP(K243,verfvoorraad!C:C,verfvoorraad!D:D),IFERROR(_xlfn.XLOOKUP(IF(LEFT(UPPER(K243),4)="REV-","REV-"&amp;VALUE(MID(K243,5,99)),IF(LEN(K243)=5,LEFT(K243,2)&amp;"."&amp;RIGHT(K243,3),K243)),verfvoorraad!E:E,verfvoorraad!D:D),"Niet gevonden")))</f>
        <v/>
      </c>
      <c r="N243" t="str">
        <f>IF(K243="","",IFERROR(_xlfn.XLOOKUP(K243,verfvoorraad!C:C,verfvoorraad!E:E),IFERROR(_xlfn.XLOOKUP(IF(LEFT(UPPER(K243),4)="REV-","REV-"&amp;VALUE(MID(K243,5,99)),IF(LEN(K243)=5,LEFT(K243,2)&amp;"."&amp;RIGHT(K243,3),K243)),verfvoorraad!E:E,verfvoorraad!E:E),"Niet gevonden")))</f>
        <v/>
      </c>
      <c r="O243" t="str">
        <f>IF(K243="","",IFERROR(_xlfn.XLOOKUP(K243,verfvoorraad!C:C,verfvoorraad!F:F),IFERROR(_xlfn.XLOOKUP(IF(LEFT(UPPER(K243),4)="REV-","REV-"&amp;VALUE(MID(K243,5,99)),IF(LEN(K243)=5,LEFT(K243,2)&amp;"."&amp;RIGHT(K243,3),K243)),verfvoorraad!E:E,verfvoorraad!F:F),"Niet gevonden")))</f>
        <v/>
      </c>
      <c r="P243" t="str">
        <f>IF(K243="","",IFERROR(_xlfn.XLOOKUP(K243,verfvoorraad!C:C,verfvoorraad!G:G),IFERROR(_xlfn.XLOOKUP(IF(LEFT(UPPER(K243),4)="REV-","REV-"&amp;VALUE(MID(K243,5,99)),IF(LEN(K243)=5,LEFT(K243,2)&amp;"."&amp;RIGHT(K243,3),K243)),verfvoorraad!E:E,verfvoorraad!G:G),"Niet gevonden")))</f>
        <v/>
      </c>
      <c r="Q243" t="str">
        <f t="shared" si="6"/>
        <v/>
      </c>
      <c r="R243" t="str">
        <f t="shared" si="7"/>
        <v/>
      </c>
    </row>
    <row r="244" spans="6:18" x14ac:dyDescent="0.25">
      <c r="F244"/>
      <c r="G244" s="20"/>
      <c r="H244" s="21"/>
      <c r="K244" s="23"/>
      <c r="L244" t="str">
        <f>IF(K244="","",IFERROR(_xlfn.XLOOKUP(K244,verfvoorraad!C:C,verfvoorraad!B:B),IFERROR(_xlfn.XLOOKUP(IF(LEFT(UPPER(K244),4)="REV-","REV-"&amp;VALUE(MID(K244,5,99)),IF(LEN(K244)=5,LEFT(K244,2)&amp;"."&amp;RIGHT(K244,3),K244)),verfvoorraad!E:E,verfvoorraad!B:B),"Niet gevonden")))</f>
        <v/>
      </c>
      <c r="M244" t="str">
        <f>IF(K244="","",IFERROR(_xlfn.XLOOKUP(K244,verfvoorraad!C:C,verfvoorraad!D:D),IFERROR(_xlfn.XLOOKUP(IF(LEFT(UPPER(K244),4)="REV-","REV-"&amp;VALUE(MID(K244,5,99)),IF(LEN(K244)=5,LEFT(K244,2)&amp;"."&amp;RIGHT(K244,3),K244)),verfvoorraad!E:E,verfvoorraad!D:D),"Niet gevonden")))</f>
        <v/>
      </c>
      <c r="N244" t="str">
        <f>IF(K244="","",IFERROR(_xlfn.XLOOKUP(K244,verfvoorraad!C:C,verfvoorraad!E:E),IFERROR(_xlfn.XLOOKUP(IF(LEFT(UPPER(K244),4)="REV-","REV-"&amp;VALUE(MID(K244,5,99)),IF(LEN(K244)=5,LEFT(K244,2)&amp;"."&amp;RIGHT(K244,3),K244)),verfvoorraad!E:E,verfvoorraad!E:E),"Niet gevonden")))</f>
        <v/>
      </c>
      <c r="O244" t="str">
        <f>IF(K244="","",IFERROR(_xlfn.XLOOKUP(K244,verfvoorraad!C:C,verfvoorraad!F:F),IFERROR(_xlfn.XLOOKUP(IF(LEFT(UPPER(K244),4)="REV-","REV-"&amp;VALUE(MID(K244,5,99)),IF(LEN(K244)=5,LEFT(K244,2)&amp;"."&amp;RIGHT(K244,3),K244)),verfvoorraad!E:E,verfvoorraad!F:F),"Niet gevonden")))</f>
        <v/>
      </c>
      <c r="P244" t="str">
        <f>IF(K244="","",IFERROR(_xlfn.XLOOKUP(K244,verfvoorraad!C:C,verfvoorraad!G:G),IFERROR(_xlfn.XLOOKUP(IF(LEFT(UPPER(K244),4)="REV-","REV-"&amp;VALUE(MID(K244,5,99)),IF(LEN(K244)=5,LEFT(K244,2)&amp;"."&amp;RIGHT(K244,3),K244)),verfvoorraad!E:E,verfvoorraad!G:G),"Niet gevonden")))</f>
        <v/>
      </c>
      <c r="Q244" t="str">
        <f t="shared" si="6"/>
        <v/>
      </c>
      <c r="R244" t="str">
        <f t="shared" si="7"/>
        <v/>
      </c>
    </row>
    <row r="245" spans="6:18" x14ac:dyDescent="0.25">
      <c r="F245"/>
      <c r="G245" s="20"/>
      <c r="H245" s="21"/>
      <c r="K245" s="23"/>
      <c r="L245" t="str">
        <f>IF(K245="","",IFERROR(_xlfn.XLOOKUP(K245,verfvoorraad!C:C,verfvoorraad!B:B),IFERROR(_xlfn.XLOOKUP(IF(LEFT(UPPER(K245),4)="REV-","REV-"&amp;VALUE(MID(K245,5,99)),IF(LEN(K245)=5,LEFT(K245,2)&amp;"."&amp;RIGHT(K245,3),K245)),verfvoorraad!E:E,verfvoorraad!B:B),"Niet gevonden")))</f>
        <v/>
      </c>
      <c r="M245" t="str">
        <f>IF(K245="","",IFERROR(_xlfn.XLOOKUP(K245,verfvoorraad!C:C,verfvoorraad!D:D),IFERROR(_xlfn.XLOOKUP(IF(LEFT(UPPER(K245),4)="REV-","REV-"&amp;VALUE(MID(K245,5,99)),IF(LEN(K245)=5,LEFT(K245,2)&amp;"."&amp;RIGHT(K245,3),K245)),verfvoorraad!E:E,verfvoorraad!D:D),"Niet gevonden")))</f>
        <v/>
      </c>
      <c r="N245" t="str">
        <f>IF(K245="","",IFERROR(_xlfn.XLOOKUP(K245,verfvoorraad!C:C,verfvoorraad!E:E),IFERROR(_xlfn.XLOOKUP(IF(LEFT(UPPER(K245),4)="REV-","REV-"&amp;VALUE(MID(K245,5,99)),IF(LEN(K245)=5,LEFT(K245,2)&amp;"."&amp;RIGHT(K245,3),K245)),verfvoorraad!E:E,verfvoorraad!E:E),"Niet gevonden")))</f>
        <v/>
      </c>
      <c r="O245" t="str">
        <f>IF(K245="","",IFERROR(_xlfn.XLOOKUP(K245,verfvoorraad!C:C,verfvoorraad!F:F),IFERROR(_xlfn.XLOOKUP(IF(LEFT(UPPER(K245),4)="REV-","REV-"&amp;VALUE(MID(K245,5,99)),IF(LEN(K245)=5,LEFT(K245,2)&amp;"."&amp;RIGHT(K245,3),K245)),verfvoorraad!E:E,verfvoorraad!F:F),"Niet gevonden")))</f>
        <v/>
      </c>
      <c r="P245" t="str">
        <f>IF(K245="","",IFERROR(_xlfn.XLOOKUP(K245,verfvoorraad!C:C,verfvoorraad!G:G),IFERROR(_xlfn.XLOOKUP(IF(LEFT(UPPER(K245),4)="REV-","REV-"&amp;VALUE(MID(K245,5,99)),IF(LEN(K245)=5,LEFT(K245,2)&amp;"."&amp;RIGHT(K245,3),K245)),verfvoorraad!E:E,verfvoorraad!G:G),"Niet gevonden")))</f>
        <v/>
      </c>
      <c r="Q245" t="str">
        <f t="shared" si="6"/>
        <v/>
      </c>
      <c r="R245" t="str">
        <f t="shared" si="7"/>
        <v/>
      </c>
    </row>
    <row r="246" spans="6:18" x14ac:dyDescent="0.25">
      <c r="F246"/>
      <c r="G246" s="20"/>
      <c r="H246" s="21"/>
      <c r="K246" s="23"/>
      <c r="L246" t="str">
        <f>IF(K246="","",IFERROR(_xlfn.XLOOKUP(K246,verfvoorraad!C:C,verfvoorraad!B:B),IFERROR(_xlfn.XLOOKUP(IF(LEFT(UPPER(K246),4)="REV-","REV-"&amp;VALUE(MID(K246,5,99)),IF(LEN(K246)=5,LEFT(K246,2)&amp;"."&amp;RIGHT(K246,3),K246)),verfvoorraad!E:E,verfvoorraad!B:B),"Niet gevonden")))</f>
        <v/>
      </c>
      <c r="M246" t="str">
        <f>IF(K246="","",IFERROR(_xlfn.XLOOKUP(K246,verfvoorraad!C:C,verfvoorraad!D:D),IFERROR(_xlfn.XLOOKUP(IF(LEFT(UPPER(K246),4)="REV-","REV-"&amp;VALUE(MID(K246,5,99)),IF(LEN(K246)=5,LEFT(K246,2)&amp;"."&amp;RIGHT(K246,3),K246)),verfvoorraad!E:E,verfvoorraad!D:D),"Niet gevonden")))</f>
        <v/>
      </c>
      <c r="N246" t="str">
        <f>IF(K246="","",IFERROR(_xlfn.XLOOKUP(K246,verfvoorraad!C:C,verfvoorraad!E:E),IFERROR(_xlfn.XLOOKUP(IF(LEFT(UPPER(K246),4)="REV-","REV-"&amp;VALUE(MID(K246,5,99)),IF(LEN(K246)=5,LEFT(K246,2)&amp;"."&amp;RIGHT(K246,3),K246)),verfvoorraad!E:E,verfvoorraad!E:E),"Niet gevonden")))</f>
        <v/>
      </c>
      <c r="O246" t="str">
        <f>IF(K246="","",IFERROR(_xlfn.XLOOKUP(K246,verfvoorraad!C:C,verfvoorraad!F:F),IFERROR(_xlfn.XLOOKUP(IF(LEFT(UPPER(K246),4)="REV-","REV-"&amp;VALUE(MID(K246,5,99)),IF(LEN(K246)=5,LEFT(K246,2)&amp;"."&amp;RIGHT(K246,3),K246)),verfvoorraad!E:E,verfvoorraad!F:F),"Niet gevonden")))</f>
        <v/>
      </c>
      <c r="P246" t="str">
        <f>IF(K246="","",IFERROR(_xlfn.XLOOKUP(K246,verfvoorraad!C:C,verfvoorraad!G:G),IFERROR(_xlfn.XLOOKUP(IF(LEFT(UPPER(K246),4)="REV-","REV-"&amp;VALUE(MID(K246,5,99)),IF(LEN(K246)=5,LEFT(K246,2)&amp;"."&amp;RIGHT(K246,3),K246)),verfvoorraad!E:E,verfvoorraad!G:G),"Niet gevonden")))</f>
        <v/>
      </c>
      <c r="Q246" t="str">
        <f t="shared" si="6"/>
        <v/>
      </c>
      <c r="R246" t="str">
        <f t="shared" si="7"/>
        <v/>
      </c>
    </row>
    <row r="247" spans="6:18" x14ac:dyDescent="0.25">
      <c r="F247"/>
      <c r="G247" s="20"/>
      <c r="H247" s="21"/>
      <c r="K247" s="23"/>
      <c r="L247" t="str">
        <f>IF(K247="","",IFERROR(_xlfn.XLOOKUP(K247,verfvoorraad!C:C,verfvoorraad!B:B),IFERROR(_xlfn.XLOOKUP(IF(LEFT(UPPER(K247),4)="REV-","REV-"&amp;VALUE(MID(K247,5,99)),IF(LEN(K247)=5,LEFT(K247,2)&amp;"."&amp;RIGHT(K247,3),K247)),verfvoorraad!E:E,verfvoorraad!B:B),"Niet gevonden")))</f>
        <v/>
      </c>
      <c r="M247" t="str">
        <f>IF(K247="","",IFERROR(_xlfn.XLOOKUP(K247,verfvoorraad!C:C,verfvoorraad!D:D),IFERROR(_xlfn.XLOOKUP(IF(LEFT(UPPER(K247),4)="REV-","REV-"&amp;VALUE(MID(K247,5,99)),IF(LEN(K247)=5,LEFT(K247,2)&amp;"."&amp;RIGHT(K247,3),K247)),verfvoorraad!E:E,verfvoorraad!D:D),"Niet gevonden")))</f>
        <v/>
      </c>
      <c r="N247" t="str">
        <f>IF(K247="","",IFERROR(_xlfn.XLOOKUP(K247,verfvoorraad!C:C,verfvoorraad!E:E),IFERROR(_xlfn.XLOOKUP(IF(LEFT(UPPER(K247),4)="REV-","REV-"&amp;VALUE(MID(K247,5,99)),IF(LEN(K247)=5,LEFT(K247,2)&amp;"."&amp;RIGHT(K247,3),K247)),verfvoorraad!E:E,verfvoorraad!E:E),"Niet gevonden")))</f>
        <v/>
      </c>
      <c r="O247" t="str">
        <f>IF(K247="","",IFERROR(_xlfn.XLOOKUP(K247,verfvoorraad!C:C,verfvoorraad!F:F),IFERROR(_xlfn.XLOOKUP(IF(LEFT(UPPER(K247),4)="REV-","REV-"&amp;VALUE(MID(K247,5,99)),IF(LEN(K247)=5,LEFT(K247,2)&amp;"."&amp;RIGHT(K247,3),K247)),verfvoorraad!E:E,verfvoorraad!F:F),"Niet gevonden")))</f>
        <v/>
      </c>
      <c r="P247" t="str">
        <f>IF(K247="","",IFERROR(_xlfn.XLOOKUP(K247,verfvoorraad!C:C,verfvoorraad!G:G),IFERROR(_xlfn.XLOOKUP(IF(LEFT(UPPER(K247),4)="REV-","REV-"&amp;VALUE(MID(K247,5,99)),IF(LEN(K247)=5,LEFT(K247,2)&amp;"."&amp;RIGHT(K247,3),K247)),verfvoorraad!E:E,verfvoorraad!G:G),"Niet gevonden")))</f>
        <v/>
      </c>
      <c r="Q247" t="str">
        <f t="shared" si="6"/>
        <v/>
      </c>
      <c r="R247" t="str">
        <f t="shared" si="7"/>
        <v/>
      </c>
    </row>
    <row r="248" spans="6:18" x14ac:dyDescent="0.25">
      <c r="F248"/>
      <c r="G248" s="20"/>
      <c r="H248" s="21"/>
      <c r="K248" s="23"/>
      <c r="L248" t="str">
        <f>IF(K248="","",IFERROR(_xlfn.XLOOKUP(K248,verfvoorraad!C:C,verfvoorraad!B:B),IFERROR(_xlfn.XLOOKUP(IF(LEFT(UPPER(K248),4)="REV-","REV-"&amp;VALUE(MID(K248,5,99)),IF(LEN(K248)=5,LEFT(K248,2)&amp;"."&amp;RIGHT(K248,3),K248)),verfvoorraad!E:E,verfvoorraad!B:B),"Niet gevonden")))</f>
        <v/>
      </c>
      <c r="M248" t="str">
        <f>IF(K248="","",IFERROR(_xlfn.XLOOKUP(K248,verfvoorraad!C:C,verfvoorraad!D:D),IFERROR(_xlfn.XLOOKUP(IF(LEFT(UPPER(K248),4)="REV-","REV-"&amp;VALUE(MID(K248,5,99)),IF(LEN(K248)=5,LEFT(K248,2)&amp;"."&amp;RIGHT(K248,3),K248)),verfvoorraad!E:E,verfvoorraad!D:D),"Niet gevonden")))</f>
        <v/>
      </c>
      <c r="N248" t="str">
        <f>IF(K248="","",IFERROR(_xlfn.XLOOKUP(K248,verfvoorraad!C:C,verfvoorraad!E:E),IFERROR(_xlfn.XLOOKUP(IF(LEFT(UPPER(K248),4)="REV-","REV-"&amp;VALUE(MID(K248,5,99)),IF(LEN(K248)=5,LEFT(K248,2)&amp;"."&amp;RIGHT(K248,3),K248)),verfvoorraad!E:E,verfvoorraad!E:E),"Niet gevonden")))</f>
        <v/>
      </c>
      <c r="O248" t="str">
        <f>IF(K248="","",IFERROR(_xlfn.XLOOKUP(K248,verfvoorraad!C:C,verfvoorraad!F:F),IFERROR(_xlfn.XLOOKUP(IF(LEFT(UPPER(K248),4)="REV-","REV-"&amp;VALUE(MID(K248,5,99)),IF(LEN(K248)=5,LEFT(K248,2)&amp;"."&amp;RIGHT(K248,3),K248)),verfvoorraad!E:E,verfvoorraad!F:F),"Niet gevonden")))</f>
        <v/>
      </c>
      <c r="P248" t="str">
        <f>IF(K248="","",IFERROR(_xlfn.XLOOKUP(K248,verfvoorraad!C:C,verfvoorraad!G:G),IFERROR(_xlfn.XLOOKUP(IF(LEFT(UPPER(K248),4)="REV-","REV-"&amp;VALUE(MID(K248,5,99)),IF(LEN(K248)=5,LEFT(K248,2)&amp;"."&amp;RIGHT(K248,3),K248)),verfvoorraad!E:E,verfvoorraad!G:G),"Niet gevonden")))</f>
        <v/>
      </c>
      <c r="Q248" t="str">
        <f t="shared" si="6"/>
        <v/>
      </c>
      <c r="R248" t="str">
        <f t="shared" si="7"/>
        <v/>
      </c>
    </row>
    <row r="249" spans="6:18" x14ac:dyDescent="0.25">
      <c r="F249"/>
      <c r="G249" s="20"/>
      <c r="H249" s="21"/>
      <c r="K249" s="23"/>
      <c r="L249" t="str">
        <f>IF(K249="","",IFERROR(_xlfn.XLOOKUP(K249,verfvoorraad!C:C,verfvoorraad!B:B),IFERROR(_xlfn.XLOOKUP(IF(LEFT(UPPER(K249),4)="REV-","REV-"&amp;VALUE(MID(K249,5,99)),IF(LEN(K249)=5,LEFT(K249,2)&amp;"."&amp;RIGHT(K249,3),K249)),verfvoorraad!E:E,verfvoorraad!B:B),"Niet gevonden")))</f>
        <v/>
      </c>
      <c r="M249" t="str">
        <f>IF(K249="","",IFERROR(_xlfn.XLOOKUP(K249,verfvoorraad!C:C,verfvoorraad!D:D),IFERROR(_xlfn.XLOOKUP(IF(LEFT(UPPER(K249),4)="REV-","REV-"&amp;VALUE(MID(K249,5,99)),IF(LEN(K249)=5,LEFT(K249,2)&amp;"."&amp;RIGHT(K249,3),K249)),verfvoorraad!E:E,verfvoorraad!D:D),"Niet gevonden")))</f>
        <v/>
      </c>
      <c r="N249" t="str">
        <f>IF(K249="","",IFERROR(_xlfn.XLOOKUP(K249,verfvoorraad!C:C,verfvoorraad!E:E),IFERROR(_xlfn.XLOOKUP(IF(LEFT(UPPER(K249),4)="REV-","REV-"&amp;VALUE(MID(K249,5,99)),IF(LEN(K249)=5,LEFT(K249,2)&amp;"."&amp;RIGHT(K249,3),K249)),verfvoorraad!E:E,verfvoorraad!E:E),"Niet gevonden")))</f>
        <v/>
      </c>
      <c r="O249" t="str">
        <f>IF(K249="","",IFERROR(_xlfn.XLOOKUP(K249,verfvoorraad!C:C,verfvoorraad!F:F),IFERROR(_xlfn.XLOOKUP(IF(LEFT(UPPER(K249),4)="REV-","REV-"&amp;VALUE(MID(K249,5,99)),IF(LEN(K249)=5,LEFT(K249,2)&amp;"."&amp;RIGHT(K249,3),K249)),verfvoorraad!E:E,verfvoorraad!F:F),"Niet gevonden")))</f>
        <v/>
      </c>
      <c r="P249" t="str">
        <f>IF(K249="","",IFERROR(_xlfn.XLOOKUP(K249,verfvoorraad!C:C,verfvoorraad!G:G),IFERROR(_xlfn.XLOOKUP(IF(LEFT(UPPER(K249),4)="REV-","REV-"&amp;VALUE(MID(K249,5,99)),IF(LEN(K249)=5,LEFT(K249,2)&amp;"."&amp;RIGHT(K249,3),K249)),verfvoorraad!E:E,verfvoorraad!G:G),"Niet gevonden")))</f>
        <v/>
      </c>
      <c r="Q249" t="str">
        <f t="shared" si="6"/>
        <v/>
      </c>
      <c r="R249" t="str">
        <f t="shared" si="7"/>
        <v/>
      </c>
    </row>
    <row r="250" spans="6:18" x14ac:dyDescent="0.25">
      <c r="F250"/>
      <c r="G250" s="20"/>
      <c r="H250" s="21"/>
      <c r="K250" s="23"/>
      <c r="L250" t="str">
        <f>IF(K250="","",IFERROR(_xlfn.XLOOKUP(K250,verfvoorraad!C:C,verfvoorraad!B:B),IFERROR(_xlfn.XLOOKUP(IF(LEFT(UPPER(K250),4)="REV-","REV-"&amp;VALUE(MID(K250,5,99)),IF(LEN(K250)=5,LEFT(K250,2)&amp;"."&amp;RIGHT(K250,3),K250)),verfvoorraad!E:E,verfvoorraad!B:B),"Niet gevonden")))</f>
        <v/>
      </c>
      <c r="M250" t="str">
        <f>IF(K250="","",IFERROR(_xlfn.XLOOKUP(K250,verfvoorraad!C:C,verfvoorraad!D:D),IFERROR(_xlfn.XLOOKUP(IF(LEFT(UPPER(K250),4)="REV-","REV-"&amp;VALUE(MID(K250,5,99)),IF(LEN(K250)=5,LEFT(K250,2)&amp;"."&amp;RIGHT(K250,3),K250)),verfvoorraad!E:E,verfvoorraad!D:D),"Niet gevonden")))</f>
        <v/>
      </c>
      <c r="N250" t="str">
        <f>IF(K250="","",IFERROR(_xlfn.XLOOKUP(K250,verfvoorraad!C:C,verfvoorraad!E:E),IFERROR(_xlfn.XLOOKUP(IF(LEFT(UPPER(K250),4)="REV-","REV-"&amp;VALUE(MID(K250,5,99)),IF(LEN(K250)=5,LEFT(K250,2)&amp;"."&amp;RIGHT(K250,3),K250)),verfvoorraad!E:E,verfvoorraad!E:E),"Niet gevonden")))</f>
        <v/>
      </c>
      <c r="O250" t="str">
        <f>IF(K250="","",IFERROR(_xlfn.XLOOKUP(K250,verfvoorraad!C:C,verfvoorraad!F:F),IFERROR(_xlfn.XLOOKUP(IF(LEFT(UPPER(K250),4)="REV-","REV-"&amp;VALUE(MID(K250,5,99)),IF(LEN(K250)=5,LEFT(K250,2)&amp;"."&amp;RIGHT(K250,3),K250)),verfvoorraad!E:E,verfvoorraad!F:F),"Niet gevonden")))</f>
        <v/>
      </c>
      <c r="P250" t="str">
        <f>IF(K250="","",IFERROR(_xlfn.XLOOKUP(K250,verfvoorraad!C:C,verfvoorraad!G:G),IFERROR(_xlfn.XLOOKUP(IF(LEFT(UPPER(K250),4)="REV-","REV-"&amp;VALUE(MID(K250,5,99)),IF(LEN(K250)=5,LEFT(K250,2)&amp;"."&amp;RIGHT(K250,3),K250)),verfvoorraad!E:E,verfvoorraad!G:G),"Niet gevonden")))</f>
        <v/>
      </c>
      <c r="Q250" t="str">
        <f t="shared" si="6"/>
        <v/>
      </c>
      <c r="R250" t="str">
        <f t="shared" si="7"/>
        <v/>
      </c>
    </row>
    <row r="251" spans="6:18" x14ac:dyDescent="0.25">
      <c r="F251"/>
      <c r="G251" s="20"/>
      <c r="H251" s="21"/>
      <c r="K251" s="23"/>
      <c r="L251" t="str">
        <f>IF(K251="","",IFERROR(_xlfn.XLOOKUP(K251,verfvoorraad!C:C,verfvoorraad!B:B),IFERROR(_xlfn.XLOOKUP(IF(LEFT(UPPER(K251),4)="REV-","REV-"&amp;VALUE(MID(K251,5,99)),IF(LEN(K251)=5,LEFT(K251,2)&amp;"."&amp;RIGHT(K251,3),K251)),verfvoorraad!E:E,verfvoorraad!B:B),"Niet gevonden")))</f>
        <v/>
      </c>
      <c r="M251" t="str">
        <f>IF(K251="","",IFERROR(_xlfn.XLOOKUP(K251,verfvoorraad!C:C,verfvoorraad!D:D),IFERROR(_xlfn.XLOOKUP(IF(LEFT(UPPER(K251),4)="REV-","REV-"&amp;VALUE(MID(K251,5,99)),IF(LEN(K251)=5,LEFT(K251,2)&amp;"."&amp;RIGHT(K251,3),K251)),verfvoorraad!E:E,verfvoorraad!D:D),"Niet gevonden")))</f>
        <v/>
      </c>
      <c r="N251" t="str">
        <f>IF(K251="","",IFERROR(_xlfn.XLOOKUP(K251,verfvoorraad!C:C,verfvoorraad!E:E),IFERROR(_xlfn.XLOOKUP(IF(LEFT(UPPER(K251),4)="REV-","REV-"&amp;VALUE(MID(K251,5,99)),IF(LEN(K251)=5,LEFT(K251,2)&amp;"."&amp;RIGHT(K251,3),K251)),verfvoorraad!E:E,verfvoorraad!E:E),"Niet gevonden")))</f>
        <v/>
      </c>
      <c r="O251" t="str">
        <f>IF(K251="","",IFERROR(_xlfn.XLOOKUP(K251,verfvoorraad!C:C,verfvoorraad!F:F),IFERROR(_xlfn.XLOOKUP(IF(LEFT(UPPER(K251),4)="REV-","REV-"&amp;VALUE(MID(K251,5,99)),IF(LEN(K251)=5,LEFT(K251,2)&amp;"."&amp;RIGHT(K251,3),K251)),verfvoorraad!E:E,verfvoorraad!F:F),"Niet gevonden")))</f>
        <v/>
      </c>
      <c r="P251" t="str">
        <f>IF(K251="","",IFERROR(_xlfn.XLOOKUP(K251,verfvoorraad!C:C,verfvoorraad!G:G),IFERROR(_xlfn.XLOOKUP(IF(LEFT(UPPER(K251),4)="REV-","REV-"&amp;VALUE(MID(K251,5,99)),IF(LEN(K251)=5,LEFT(K251,2)&amp;"."&amp;RIGHT(K251,3),K251)),verfvoorraad!E:E,verfvoorraad!G:G),"Niet gevonden")))</f>
        <v/>
      </c>
      <c r="Q251" t="str">
        <f t="shared" si="6"/>
        <v/>
      </c>
      <c r="R251" t="str">
        <f t="shared" si="7"/>
        <v/>
      </c>
    </row>
    <row r="252" spans="6:18" x14ac:dyDescent="0.25">
      <c r="F252"/>
      <c r="G252" s="20"/>
      <c r="H252" s="21"/>
      <c r="K252" s="23"/>
      <c r="L252" t="str">
        <f>IF(K252="","",IFERROR(_xlfn.XLOOKUP(K252,verfvoorraad!C:C,verfvoorraad!B:B),IFERROR(_xlfn.XLOOKUP(IF(LEFT(UPPER(K252),4)="REV-","REV-"&amp;VALUE(MID(K252,5,99)),IF(LEN(K252)=5,LEFT(K252,2)&amp;"."&amp;RIGHT(K252,3),K252)),verfvoorraad!E:E,verfvoorraad!B:B),"Niet gevonden")))</f>
        <v/>
      </c>
      <c r="M252" t="str">
        <f>IF(K252="","",IFERROR(_xlfn.XLOOKUP(K252,verfvoorraad!C:C,verfvoorraad!D:D),IFERROR(_xlfn.XLOOKUP(IF(LEFT(UPPER(K252),4)="REV-","REV-"&amp;VALUE(MID(K252,5,99)),IF(LEN(K252)=5,LEFT(K252,2)&amp;"."&amp;RIGHT(K252,3),K252)),verfvoorraad!E:E,verfvoorraad!D:D),"Niet gevonden")))</f>
        <v/>
      </c>
      <c r="N252" t="str">
        <f>IF(K252="","",IFERROR(_xlfn.XLOOKUP(K252,verfvoorraad!C:C,verfvoorraad!E:E),IFERROR(_xlfn.XLOOKUP(IF(LEFT(UPPER(K252),4)="REV-","REV-"&amp;VALUE(MID(K252,5,99)),IF(LEN(K252)=5,LEFT(K252,2)&amp;"."&amp;RIGHT(K252,3),K252)),verfvoorraad!E:E,verfvoorraad!E:E),"Niet gevonden")))</f>
        <v/>
      </c>
      <c r="O252" t="str">
        <f>IF(K252="","",IFERROR(_xlfn.XLOOKUP(K252,verfvoorraad!C:C,verfvoorraad!F:F),IFERROR(_xlfn.XLOOKUP(IF(LEFT(UPPER(K252),4)="REV-","REV-"&amp;VALUE(MID(K252,5,99)),IF(LEN(K252)=5,LEFT(K252,2)&amp;"."&amp;RIGHT(K252,3),K252)),verfvoorraad!E:E,verfvoorraad!F:F),"Niet gevonden")))</f>
        <v/>
      </c>
      <c r="P252" t="str">
        <f>IF(K252="","",IFERROR(_xlfn.XLOOKUP(K252,verfvoorraad!C:C,verfvoorraad!G:G),IFERROR(_xlfn.XLOOKUP(IF(LEFT(UPPER(K252),4)="REV-","REV-"&amp;VALUE(MID(K252,5,99)),IF(LEN(K252)=5,LEFT(K252,2)&amp;"."&amp;RIGHT(K252,3),K252)),verfvoorraad!E:E,verfvoorraad!G:G),"Niet gevonden")))</f>
        <v/>
      </c>
      <c r="Q252" t="str">
        <f t="shared" si="6"/>
        <v/>
      </c>
      <c r="R252" t="str">
        <f t="shared" si="7"/>
        <v/>
      </c>
    </row>
    <row r="253" spans="6:18" x14ac:dyDescent="0.25">
      <c r="F253"/>
      <c r="G253" s="20"/>
      <c r="H253" s="21"/>
      <c r="K253" s="23"/>
      <c r="L253" t="str">
        <f>IF(K253="","",IFERROR(_xlfn.XLOOKUP(K253,verfvoorraad!C:C,verfvoorraad!B:B),IFERROR(_xlfn.XLOOKUP(IF(LEFT(UPPER(K253),4)="REV-","REV-"&amp;VALUE(MID(K253,5,99)),IF(LEN(K253)=5,LEFT(K253,2)&amp;"."&amp;RIGHT(K253,3),K253)),verfvoorraad!E:E,verfvoorraad!B:B),"Niet gevonden")))</f>
        <v/>
      </c>
      <c r="M253" t="str">
        <f>IF(K253="","",IFERROR(_xlfn.XLOOKUP(K253,verfvoorraad!C:C,verfvoorraad!D:D),IFERROR(_xlfn.XLOOKUP(IF(LEFT(UPPER(K253),4)="REV-","REV-"&amp;VALUE(MID(K253,5,99)),IF(LEN(K253)=5,LEFT(K253,2)&amp;"."&amp;RIGHT(K253,3),K253)),verfvoorraad!E:E,verfvoorraad!D:D),"Niet gevonden")))</f>
        <v/>
      </c>
      <c r="N253" t="str">
        <f>IF(K253="","",IFERROR(_xlfn.XLOOKUP(K253,verfvoorraad!C:C,verfvoorraad!E:E),IFERROR(_xlfn.XLOOKUP(IF(LEFT(UPPER(K253),4)="REV-","REV-"&amp;VALUE(MID(K253,5,99)),IF(LEN(K253)=5,LEFT(K253,2)&amp;"."&amp;RIGHT(K253,3),K253)),verfvoorraad!E:E,verfvoorraad!E:E),"Niet gevonden")))</f>
        <v/>
      </c>
      <c r="O253" t="str">
        <f>IF(K253="","",IFERROR(_xlfn.XLOOKUP(K253,verfvoorraad!C:C,verfvoorraad!F:F),IFERROR(_xlfn.XLOOKUP(IF(LEFT(UPPER(K253),4)="REV-","REV-"&amp;VALUE(MID(K253,5,99)),IF(LEN(K253)=5,LEFT(K253,2)&amp;"."&amp;RIGHT(K253,3),K253)),verfvoorraad!E:E,verfvoorraad!F:F),"Niet gevonden")))</f>
        <v/>
      </c>
      <c r="P253" t="str">
        <f>IF(K253="","",IFERROR(_xlfn.XLOOKUP(K253,verfvoorraad!C:C,verfvoorraad!G:G),IFERROR(_xlfn.XLOOKUP(IF(LEFT(UPPER(K253),4)="REV-","REV-"&amp;VALUE(MID(K253,5,99)),IF(LEN(K253)=5,LEFT(K253,2)&amp;"."&amp;RIGHT(K253,3),K253)),verfvoorraad!E:E,verfvoorraad!G:G),"Niet gevonden")))</f>
        <v/>
      </c>
      <c r="Q253" t="str">
        <f t="shared" si="6"/>
        <v/>
      </c>
      <c r="R253" t="str">
        <f t="shared" si="7"/>
        <v/>
      </c>
    </row>
    <row r="254" spans="6:18" x14ac:dyDescent="0.25">
      <c r="F254"/>
      <c r="G254" s="20"/>
      <c r="H254" s="21"/>
      <c r="K254" s="23"/>
      <c r="L254" t="str">
        <f>IF(K254="","",IFERROR(_xlfn.XLOOKUP(K254,verfvoorraad!C:C,verfvoorraad!B:B),IFERROR(_xlfn.XLOOKUP(IF(LEFT(UPPER(K254),4)="REV-","REV-"&amp;VALUE(MID(K254,5,99)),IF(LEN(K254)=5,LEFT(K254,2)&amp;"."&amp;RIGHT(K254,3),K254)),verfvoorraad!E:E,verfvoorraad!B:B),"Niet gevonden")))</f>
        <v/>
      </c>
      <c r="M254" t="str">
        <f>IF(K254="","",IFERROR(_xlfn.XLOOKUP(K254,verfvoorraad!C:C,verfvoorraad!D:D),IFERROR(_xlfn.XLOOKUP(IF(LEFT(UPPER(K254),4)="REV-","REV-"&amp;VALUE(MID(K254,5,99)),IF(LEN(K254)=5,LEFT(K254,2)&amp;"."&amp;RIGHT(K254,3),K254)),verfvoorraad!E:E,verfvoorraad!D:D),"Niet gevonden")))</f>
        <v/>
      </c>
      <c r="N254" t="str">
        <f>IF(K254="","",IFERROR(_xlfn.XLOOKUP(K254,verfvoorraad!C:C,verfvoorraad!E:E),IFERROR(_xlfn.XLOOKUP(IF(LEFT(UPPER(K254),4)="REV-","REV-"&amp;VALUE(MID(K254,5,99)),IF(LEN(K254)=5,LEFT(K254,2)&amp;"."&amp;RIGHT(K254,3),K254)),verfvoorraad!E:E,verfvoorraad!E:E),"Niet gevonden")))</f>
        <v/>
      </c>
      <c r="O254" t="str">
        <f>IF(K254="","",IFERROR(_xlfn.XLOOKUP(K254,verfvoorraad!C:C,verfvoorraad!F:F),IFERROR(_xlfn.XLOOKUP(IF(LEFT(UPPER(K254),4)="REV-","REV-"&amp;VALUE(MID(K254,5,99)),IF(LEN(K254)=5,LEFT(K254,2)&amp;"."&amp;RIGHT(K254,3),K254)),verfvoorraad!E:E,verfvoorraad!F:F),"Niet gevonden")))</f>
        <v/>
      </c>
      <c r="P254" t="str">
        <f>IF(K254="","",IFERROR(_xlfn.XLOOKUP(K254,verfvoorraad!C:C,verfvoorraad!G:G),IFERROR(_xlfn.XLOOKUP(IF(LEFT(UPPER(K254),4)="REV-","REV-"&amp;VALUE(MID(K254,5,99)),IF(LEN(K254)=5,LEFT(K254,2)&amp;"."&amp;RIGHT(K254,3),K254)),verfvoorraad!E:E,verfvoorraad!G:G),"Niet gevonden")))</f>
        <v/>
      </c>
      <c r="Q254" t="str">
        <f t="shared" si="6"/>
        <v/>
      </c>
      <c r="R254" t="str">
        <f t="shared" si="7"/>
        <v/>
      </c>
    </row>
    <row r="255" spans="6:18" x14ac:dyDescent="0.25">
      <c r="F255"/>
      <c r="G255" s="20"/>
      <c r="H255" s="21"/>
      <c r="K255" s="23"/>
      <c r="L255" t="str">
        <f>IF(K255="","",IFERROR(_xlfn.XLOOKUP(K255,verfvoorraad!C:C,verfvoorraad!B:B),IFERROR(_xlfn.XLOOKUP(IF(LEFT(UPPER(K255),4)="REV-","REV-"&amp;VALUE(MID(K255,5,99)),IF(LEN(K255)=5,LEFT(K255,2)&amp;"."&amp;RIGHT(K255,3),K255)),verfvoorraad!E:E,verfvoorraad!B:B),"Niet gevonden")))</f>
        <v/>
      </c>
      <c r="M255" t="str">
        <f>IF(K255="","",IFERROR(_xlfn.XLOOKUP(K255,verfvoorraad!C:C,verfvoorraad!D:D),IFERROR(_xlfn.XLOOKUP(IF(LEFT(UPPER(K255),4)="REV-","REV-"&amp;VALUE(MID(K255,5,99)),IF(LEN(K255)=5,LEFT(K255,2)&amp;"."&amp;RIGHT(K255,3),K255)),verfvoorraad!E:E,verfvoorraad!D:D),"Niet gevonden")))</f>
        <v/>
      </c>
      <c r="N255" t="str">
        <f>IF(K255="","",IFERROR(_xlfn.XLOOKUP(K255,verfvoorraad!C:C,verfvoorraad!E:E),IFERROR(_xlfn.XLOOKUP(IF(LEFT(UPPER(K255),4)="REV-","REV-"&amp;VALUE(MID(K255,5,99)),IF(LEN(K255)=5,LEFT(K255,2)&amp;"."&amp;RIGHT(K255,3),K255)),verfvoorraad!E:E,verfvoorraad!E:E),"Niet gevonden")))</f>
        <v/>
      </c>
      <c r="O255" t="str">
        <f>IF(K255="","",IFERROR(_xlfn.XLOOKUP(K255,verfvoorraad!C:C,verfvoorraad!F:F),IFERROR(_xlfn.XLOOKUP(IF(LEFT(UPPER(K255),4)="REV-","REV-"&amp;VALUE(MID(K255,5,99)),IF(LEN(K255)=5,LEFT(K255,2)&amp;"."&amp;RIGHT(K255,3),K255)),verfvoorraad!E:E,verfvoorraad!F:F),"Niet gevonden")))</f>
        <v/>
      </c>
      <c r="P255" t="str">
        <f>IF(K255="","",IFERROR(_xlfn.XLOOKUP(K255,verfvoorraad!C:C,verfvoorraad!G:G),IFERROR(_xlfn.XLOOKUP(IF(LEFT(UPPER(K255),4)="REV-","REV-"&amp;VALUE(MID(K255,5,99)),IF(LEN(K255)=5,LEFT(K255,2)&amp;"."&amp;RIGHT(K255,3),K255)),verfvoorraad!E:E,verfvoorraad!G:G),"Niet gevonden")))</f>
        <v/>
      </c>
      <c r="Q255" t="str">
        <f t="shared" si="6"/>
        <v/>
      </c>
      <c r="R255" t="str">
        <f t="shared" si="7"/>
        <v/>
      </c>
    </row>
    <row r="256" spans="6:18" x14ac:dyDescent="0.25">
      <c r="F256"/>
      <c r="G256" s="20"/>
      <c r="H256" s="21"/>
      <c r="K256" s="23"/>
      <c r="L256" t="str">
        <f>IF(K256="","",IFERROR(_xlfn.XLOOKUP(K256,verfvoorraad!C:C,verfvoorraad!B:B),IFERROR(_xlfn.XLOOKUP(IF(LEFT(UPPER(K256),4)="REV-","REV-"&amp;VALUE(MID(K256,5,99)),IF(LEN(K256)=5,LEFT(K256,2)&amp;"."&amp;RIGHT(K256,3),K256)),verfvoorraad!E:E,verfvoorraad!B:B),"Niet gevonden")))</f>
        <v/>
      </c>
      <c r="M256" t="str">
        <f>IF(K256="","",IFERROR(_xlfn.XLOOKUP(K256,verfvoorraad!C:C,verfvoorraad!D:D),IFERROR(_xlfn.XLOOKUP(IF(LEFT(UPPER(K256),4)="REV-","REV-"&amp;VALUE(MID(K256,5,99)),IF(LEN(K256)=5,LEFT(K256,2)&amp;"."&amp;RIGHT(K256,3),K256)),verfvoorraad!E:E,verfvoorraad!D:D),"Niet gevonden")))</f>
        <v/>
      </c>
      <c r="N256" t="str">
        <f>IF(K256="","",IFERROR(_xlfn.XLOOKUP(K256,verfvoorraad!C:C,verfvoorraad!E:E),IFERROR(_xlfn.XLOOKUP(IF(LEFT(UPPER(K256),4)="REV-","REV-"&amp;VALUE(MID(K256,5,99)),IF(LEN(K256)=5,LEFT(K256,2)&amp;"."&amp;RIGHT(K256,3),K256)),verfvoorraad!E:E,verfvoorraad!E:E),"Niet gevonden")))</f>
        <v/>
      </c>
      <c r="O256" t="str">
        <f>IF(K256="","",IFERROR(_xlfn.XLOOKUP(K256,verfvoorraad!C:C,verfvoorraad!F:F),IFERROR(_xlfn.XLOOKUP(IF(LEFT(UPPER(K256),4)="REV-","REV-"&amp;VALUE(MID(K256,5,99)),IF(LEN(K256)=5,LEFT(K256,2)&amp;"."&amp;RIGHT(K256,3),K256)),verfvoorraad!E:E,verfvoorraad!F:F),"Niet gevonden")))</f>
        <v/>
      </c>
      <c r="P256" t="str">
        <f>IF(K256="","",IFERROR(_xlfn.XLOOKUP(K256,verfvoorraad!C:C,verfvoorraad!G:G),IFERROR(_xlfn.XLOOKUP(IF(LEFT(UPPER(K256),4)="REV-","REV-"&amp;VALUE(MID(K256,5,99)),IF(LEN(K256)=5,LEFT(K256,2)&amp;"."&amp;RIGHT(K256,3),K256)),verfvoorraad!E:E,verfvoorraad!G:G),"Niet gevonden")))</f>
        <v/>
      </c>
      <c r="Q256" t="str">
        <f t="shared" si="6"/>
        <v/>
      </c>
      <c r="R256" t="str">
        <f t="shared" si="7"/>
        <v/>
      </c>
    </row>
    <row r="257" spans="6:18" x14ac:dyDescent="0.25">
      <c r="F257"/>
      <c r="G257" s="20"/>
      <c r="H257" s="21"/>
      <c r="K257" s="23"/>
      <c r="L257" t="str">
        <f>IF(K257="","",IFERROR(_xlfn.XLOOKUP(K257,verfvoorraad!C:C,verfvoorraad!B:B),IFERROR(_xlfn.XLOOKUP(IF(LEFT(UPPER(K257),4)="REV-","REV-"&amp;VALUE(MID(K257,5,99)),IF(LEN(K257)=5,LEFT(K257,2)&amp;"."&amp;RIGHT(K257,3),K257)),verfvoorraad!E:E,verfvoorraad!B:B),"Niet gevonden")))</f>
        <v/>
      </c>
      <c r="M257" t="str">
        <f>IF(K257="","",IFERROR(_xlfn.XLOOKUP(K257,verfvoorraad!C:C,verfvoorraad!D:D),IFERROR(_xlfn.XLOOKUP(IF(LEFT(UPPER(K257),4)="REV-","REV-"&amp;VALUE(MID(K257,5,99)),IF(LEN(K257)=5,LEFT(K257,2)&amp;"."&amp;RIGHT(K257,3),K257)),verfvoorraad!E:E,verfvoorraad!D:D),"Niet gevonden")))</f>
        <v/>
      </c>
      <c r="N257" t="str">
        <f>IF(K257="","",IFERROR(_xlfn.XLOOKUP(K257,verfvoorraad!C:C,verfvoorraad!E:E),IFERROR(_xlfn.XLOOKUP(IF(LEFT(UPPER(K257),4)="REV-","REV-"&amp;VALUE(MID(K257,5,99)),IF(LEN(K257)=5,LEFT(K257,2)&amp;"."&amp;RIGHT(K257,3),K257)),verfvoorraad!E:E,verfvoorraad!E:E),"Niet gevonden")))</f>
        <v/>
      </c>
      <c r="O257" t="str">
        <f>IF(K257="","",IFERROR(_xlfn.XLOOKUP(K257,verfvoorraad!C:C,verfvoorraad!F:F),IFERROR(_xlfn.XLOOKUP(IF(LEFT(UPPER(K257),4)="REV-","REV-"&amp;VALUE(MID(K257,5,99)),IF(LEN(K257)=5,LEFT(K257,2)&amp;"."&amp;RIGHT(K257,3),K257)),verfvoorraad!E:E,verfvoorraad!F:F),"Niet gevonden")))</f>
        <v/>
      </c>
      <c r="P257" t="str">
        <f>IF(K257="","",IFERROR(_xlfn.XLOOKUP(K257,verfvoorraad!C:C,verfvoorraad!G:G),IFERROR(_xlfn.XLOOKUP(IF(LEFT(UPPER(K257),4)="REV-","REV-"&amp;VALUE(MID(K257,5,99)),IF(LEN(K257)=5,LEFT(K257,2)&amp;"."&amp;RIGHT(K257,3),K257)),verfvoorraad!E:E,verfvoorraad!G:G),"Niet gevonden")))</f>
        <v/>
      </c>
      <c r="Q257" t="str">
        <f t="shared" si="6"/>
        <v/>
      </c>
      <c r="R257" t="str">
        <f t="shared" si="7"/>
        <v/>
      </c>
    </row>
    <row r="258" spans="6:18" x14ac:dyDescent="0.25">
      <c r="F258"/>
      <c r="G258" s="20"/>
      <c r="H258" s="21"/>
      <c r="K258" s="23"/>
      <c r="L258" t="str">
        <f>IF(K258="","",IFERROR(_xlfn.XLOOKUP(K258,verfvoorraad!C:C,verfvoorraad!B:B),IFERROR(_xlfn.XLOOKUP(IF(LEFT(UPPER(K258),4)="REV-","REV-"&amp;VALUE(MID(K258,5,99)),IF(LEN(K258)=5,LEFT(K258,2)&amp;"."&amp;RIGHT(K258,3),K258)),verfvoorraad!E:E,verfvoorraad!B:B),"Niet gevonden")))</f>
        <v/>
      </c>
      <c r="M258" t="str">
        <f>IF(K258="","",IFERROR(_xlfn.XLOOKUP(K258,verfvoorraad!C:C,verfvoorraad!D:D),IFERROR(_xlfn.XLOOKUP(IF(LEFT(UPPER(K258),4)="REV-","REV-"&amp;VALUE(MID(K258,5,99)),IF(LEN(K258)=5,LEFT(K258,2)&amp;"."&amp;RIGHT(K258,3),K258)),verfvoorraad!E:E,verfvoorraad!D:D),"Niet gevonden")))</f>
        <v/>
      </c>
      <c r="N258" t="str">
        <f>IF(K258="","",IFERROR(_xlfn.XLOOKUP(K258,verfvoorraad!C:C,verfvoorraad!E:E),IFERROR(_xlfn.XLOOKUP(IF(LEFT(UPPER(K258),4)="REV-","REV-"&amp;VALUE(MID(K258,5,99)),IF(LEN(K258)=5,LEFT(K258,2)&amp;"."&amp;RIGHT(K258,3),K258)),verfvoorraad!E:E,verfvoorraad!E:E),"Niet gevonden")))</f>
        <v/>
      </c>
      <c r="O258" t="str">
        <f>IF(K258="","",IFERROR(_xlfn.XLOOKUP(K258,verfvoorraad!C:C,verfvoorraad!F:F),IFERROR(_xlfn.XLOOKUP(IF(LEFT(UPPER(K258),4)="REV-","REV-"&amp;VALUE(MID(K258,5,99)),IF(LEN(K258)=5,LEFT(K258,2)&amp;"."&amp;RIGHT(K258,3),K258)),verfvoorraad!E:E,verfvoorraad!F:F),"Niet gevonden")))</f>
        <v/>
      </c>
      <c r="P258" t="str">
        <f>IF(K258="","",IFERROR(_xlfn.XLOOKUP(K258,verfvoorraad!C:C,verfvoorraad!G:G),IFERROR(_xlfn.XLOOKUP(IF(LEFT(UPPER(K258),4)="REV-","REV-"&amp;VALUE(MID(K258,5,99)),IF(LEN(K258)=5,LEFT(K258,2)&amp;"."&amp;RIGHT(K258,3),K258)),verfvoorraad!E:E,verfvoorraad!G:G),"Niet gevonden")))</f>
        <v/>
      </c>
      <c r="Q258" t="str">
        <f t="shared" si="6"/>
        <v/>
      </c>
      <c r="R258" t="str">
        <f t="shared" si="7"/>
        <v/>
      </c>
    </row>
    <row r="259" spans="6:18" x14ac:dyDescent="0.25">
      <c r="F259"/>
      <c r="G259" s="20"/>
      <c r="H259" s="21"/>
      <c r="K259" s="23"/>
      <c r="L259" t="str">
        <f>IF(K259="","",IFERROR(_xlfn.XLOOKUP(K259,verfvoorraad!C:C,verfvoorraad!B:B),IFERROR(_xlfn.XLOOKUP(IF(LEFT(UPPER(K259),4)="REV-","REV-"&amp;VALUE(MID(K259,5,99)),IF(LEN(K259)=5,LEFT(K259,2)&amp;"."&amp;RIGHT(K259,3),K259)),verfvoorraad!E:E,verfvoorraad!B:B),"Niet gevonden")))</f>
        <v/>
      </c>
      <c r="M259" t="str">
        <f>IF(K259="","",IFERROR(_xlfn.XLOOKUP(K259,verfvoorraad!C:C,verfvoorraad!D:D),IFERROR(_xlfn.XLOOKUP(IF(LEFT(UPPER(K259),4)="REV-","REV-"&amp;VALUE(MID(K259,5,99)),IF(LEN(K259)=5,LEFT(K259,2)&amp;"."&amp;RIGHT(K259,3),K259)),verfvoorraad!E:E,verfvoorraad!D:D),"Niet gevonden")))</f>
        <v/>
      </c>
      <c r="N259" t="str">
        <f>IF(K259="","",IFERROR(_xlfn.XLOOKUP(K259,verfvoorraad!C:C,verfvoorraad!E:E),IFERROR(_xlfn.XLOOKUP(IF(LEFT(UPPER(K259),4)="REV-","REV-"&amp;VALUE(MID(K259,5,99)),IF(LEN(K259)=5,LEFT(K259,2)&amp;"."&amp;RIGHT(K259,3),K259)),verfvoorraad!E:E,verfvoorraad!E:E),"Niet gevonden")))</f>
        <v/>
      </c>
      <c r="O259" t="str">
        <f>IF(K259="","",IFERROR(_xlfn.XLOOKUP(K259,verfvoorraad!C:C,verfvoorraad!F:F),IFERROR(_xlfn.XLOOKUP(IF(LEFT(UPPER(K259),4)="REV-","REV-"&amp;VALUE(MID(K259,5,99)),IF(LEN(K259)=5,LEFT(K259,2)&amp;"."&amp;RIGHT(K259,3),K259)),verfvoorraad!E:E,verfvoorraad!F:F),"Niet gevonden")))</f>
        <v/>
      </c>
      <c r="P259" t="str">
        <f>IF(K259="","",IFERROR(_xlfn.XLOOKUP(K259,verfvoorraad!C:C,verfvoorraad!G:G),IFERROR(_xlfn.XLOOKUP(IF(LEFT(UPPER(K259),4)="REV-","REV-"&amp;VALUE(MID(K259,5,99)),IF(LEN(K259)=5,LEFT(K259,2)&amp;"."&amp;RIGHT(K259,3),K259)),verfvoorraad!E:E,verfvoorraad!G:G),"Niet gevonden")))</f>
        <v/>
      </c>
      <c r="Q259" t="str">
        <f t="shared" si="6"/>
        <v/>
      </c>
      <c r="R259" t="str">
        <f t="shared" si="7"/>
        <v/>
      </c>
    </row>
    <row r="260" spans="6:18" x14ac:dyDescent="0.25">
      <c r="F260"/>
      <c r="G260" s="20"/>
      <c r="H260" s="21"/>
      <c r="K260" s="23"/>
      <c r="L260" t="str">
        <f>IF(K260="","",IFERROR(_xlfn.XLOOKUP(K260,verfvoorraad!C:C,verfvoorraad!B:B),IFERROR(_xlfn.XLOOKUP(IF(LEFT(UPPER(K260),4)="REV-","REV-"&amp;VALUE(MID(K260,5,99)),IF(LEN(K260)=5,LEFT(K260,2)&amp;"."&amp;RIGHT(K260,3),K260)),verfvoorraad!E:E,verfvoorraad!B:B),"Niet gevonden")))</f>
        <v/>
      </c>
      <c r="M260" t="str">
        <f>IF(K260="","",IFERROR(_xlfn.XLOOKUP(K260,verfvoorraad!C:C,verfvoorraad!D:D),IFERROR(_xlfn.XLOOKUP(IF(LEFT(UPPER(K260),4)="REV-","REV-"&amp;VALUE(MID(K260,5,99)),IF(LEN(K260)=5,LEFT(K260,2)&amp;"."&amp;RIGHT(K260,3),K260)),verfvoorraad!E:E,verfvoorraad!D:D),"Niet gevonden")))</f>
        <v/>
      </c>
      <c r="N260" t="str">
        <f>IF(K260="","",IFERROR(_xlfn.XLOOKUP(K260,verfvoorraad!C:C,verfvoorraad!E:E),IFERROR(_xlfn.XLOOKUP(IF(LEFT(UPPER(K260),4)="REV-","REV-"&amp;VALUE(MID(K260,5,99)),IF(LEN(K260)=5,LEFT(K260,2)&amp;"."&amp;RIGHT(K260,3),K260)),verfvoorraad!E:E,verfvoorraad!E:E),"Niet gevonden")))</f>
        <v/>
      </c>
      <c r="O260" t="str">
        <f>IF(K260="","",IFERROR(_xlfn.XLOOKUP(K260,verfvoorraad!C:C,verfvoorraad!F:F),IFERROR(_xlfn.XLOOKUP(IF(LEFT(UPPER(K260),4)="REV-","REV-"&amp;VALUE(MID(K260,5,99)),IF(LEN(K260)=5,LEFT(K260,2)&amp;"."&amp;RIGHT(K260,3),K260)),verfvoorraad!E:E,verfvoorraad!F:F),"Niet gevonden")))</f>
        <v/>
      </c>
      <c r="P260" t="str">
        <f>IF(K260="","",IFERROR(_xlfn.XLOOKUP(K260,verfvoorraad!C:C,verfvoorraad!G:G),IFERROR(_xlfn.XLOOKUP(IF(LEFT(UPPER(K260),4)="REV-","REV-"&amp;VALUE(MID(K260,5,99)),IF(LEN(K260)=5,LEFT(K260,2)&amp;"."&amp;RIGHT(K260,3),K260)),verfvoorraad!E:E,verfvoorraad!G:G),"Niet gevonden")))</f>
        <v/>
      </c>
      <c r="Q260" t="str">
        <f t="shared" si="6"/>
        <v/>
      </c>
      <c r="R260" t="str">
        <f t="shared" si="7"/>
        <v/>
      </c>
    </row>
    <row r="261" spans="6:18" x14ac:dyDescent="0.25">
      <c r="F261"/>
      <c r="G261" s="20"/>
      <c r="H261" s="21"/>
      <c r="K261" s="23"/>
      <c r="L261" t="str">
        <f>IF(K261="","",IFERROR(_xlfn.XLOOKUP(K261,verfvoorraad!C:C,verfvoorraad!B:B),IFERROR(_xlfn.XLOOKUP(IF(LEFT(UPPER(K261),4)="REV-","REV-"&amp;VALUE(MID(K261,5,99)),IF(LEN(K261)=5,LEFT(K261,2)&amp;"."&amp;RIGHT(K261,3),K261)),verfvoorraad!E:E,verfvoorraad!B:B),"Niet gevonden")))</f>
        <v/>
      </c>
      <c r="M261" t="str">
        <f>IF(K261="","",IFERROR(_xlfn.XLOOKUP(K261,verfvoorraad!C:C,verfvoorraad!D:D),IFERROR(_xlfn.XLOOKUP(IF(LEFT(UPPER(K261),4)="REV-","REV-"&amp;VALUE(MID(K261,5,99)),IF(LEN(K261)=5,LEFT(K261,2)&amp;"."&amp;RIGHT(K261,3),K261)),verfvoorraad!E:E,verfvoorraad!D:D),"Niet gevonden")))</f>
        <v/>
      </c>
      <c r="N261" t="str">
        <f>IF(K261="","",IFERROR(_xlfn.XLOOKUP(K261,verfvoorraad!C:C,verfvoorraad!E:E),IFERROR(_xlfn.XLOOKUP(IF(LEFT(UPPER(K261),4)="REV-","REV-"&amp;VALUE(MID(K261,5,99)),IF(LEN(K261)=5,LEFT(K261,2)&amp;"."&amp;RIGHT(K261,3),K261)),verfvoorraad!E:E,verfvoorraad!E:E),"Niet gevonden")))</f>
        <v/>
      </c>
      <c r="O261" t="str">
        <f>IF(K261="","",IFERROR(_xlfn.XLOOKUP(K261,verfvoorraad!C:C,verfvoorraad!F:F),IFERROR(_xlfn.XLOOKUP(IF(LEFT(UPPER(K261),4)="REV-","REV-"&amp;VALUE(MID(K261,5,99)),IF(LEN(K261)=5,LEFT(K261,2)&amp;"."&amp;RIGHT(K261,3),K261)),verfvoorraad!E:E,verfvoorraad!F:F),"Niet gevonden")))</f>
        <v/>
      </c>
      <c r="P261" t="str">
        <f>IF(K261="","",IFERROR(_xlfn.XLOOKUP(K261,verfvoorraad!C:C,verfvoorraad!G:G),IFERROR(_xlfn.XLOOKUP(IF(LEFT(UPPER(K261),4)="REV-","REV-"&amp;VALUE(MID(K261,5,99)),IF(LEN(K261)=5,LEFT(K261,2)&amp;"."&amp;RIGHT(K261,3),K261)),verfvoorraad!E:E,verfvoorraad!G:G),"Niet gevonden")))</f>
        <v/>
      </c>
      <c r="Q261" t="str">
        <f t="shared" si="6"/>
        <v/>
      </c>
      <c r="R261" t="str">
        <f t="shared" si="7"/>
        <v/>
      </c>
    </row>
    <row r="262" spans="6:18" x14ac:dyDescent="0.25">
      <c r="F262"/>
      <c r="G262" s="20"/>
      <c r="H262" s="21"/>
      <c r="K262" s="23"/>
      <c r="L262" t="str">
        <f>IF(K262="","",IFERROR(_xlfn.XLOOKUP(K262,verfvoorraad!C:C,verfvoorraad!B:B),IFERROR(_xlfn.XLOOKUP(IF(LEFT(UPPER(K262),4)="REV-","REV-"&amp;VALUE(MID(K262,5,99)),IF(LEN(K262)=5,LEFT(K262,2)&amp;"."&amp;RIGHT(K262,3),K262)),verfvoorraad!E:E,verfvoorraad!B:B),"Niet gevonden")))</f>
        <v/>
      </c>
      <c r="M262" t="str">
        <f>IF(K262="","",IFERROR(_xlfn.XLOOKUP(K262,verfvoorraad!C:C,verfvoorraad!D:D),IFERROR(_xlfn.XLOOKUP(IF(LEFT(UPPER(K262),4)="REV-","REV-"&amp;VALUE(MID(K262,5,99)),IF(LEN(K262)=5,LEFT(K262,2)&amp;"."&amp;RIGHT(K262,3),K262)),verfvoorraad!E:E,verfvoorraad!D:D),"Niet gevonden")))</f>
        <v/>
      </c>
      <c r="N262" t="str">
        <f>IF(K262="","",IFERROR(_xlfn.XLOOKUP(K262,verfvoorraad!C:C,verfvoorraad!E:E),IFERROR(_xlfn.XLOOKUP(IF(LEFT(UPPER(K262),4)="REV-","REV-"&amp;VALUE(MID(K262,5,99)),IF(LEN(K262)=5,LEFT(K262,2)&amp;"."&amp;RIGHT(K262,3),K262)),verfvoorraad!E:E,verfvoorraad!E:E),"Niet gevonden")))</f>
        <v/>
      </c>
      <c r="O262" t="str">
        <f>IF(K262="","",IFERROR(_xlfn.XLOOKUP(K262,verfvoorraad!C:C,verfvoorraad!F:F),IFERROR(_xlfn.XLOOKUP(IF(LEFT(UPPER(K262),4)="REV-","REV-"&amp;VALUE(MID(K262,5,99)),IF(LEN(K262)=5,LEFT(K262,2)&amp;"."&amp;RIGHT(K262,3),K262)),verfvoorraad!E:E,verfvoorraad!F:F),"Niet gevonden")))</f>
        <v/>
      </c>
      <c r="P262" t="str">
        <f>IF(K262="","",IFERROR(_xlfn.XLOOKUP(K262,verfvoorraad!C:C,verfvoorraad!G:G),IFERROR(_xlfn.XLOOKUP(IF(LEFT(UPPER(K262),4)="REV-","REV-"&amp;VALUE(MID(K262,5,99)),IF(LEN(K262)=5,LEFT(K262,2)&amp;"."&amp;RIGHT(K262,3),K262)),verfvoorraad!E:E,verfvoorraad!G:G),"Niet gevonden")))</f>
        <v/>
      </c>
      <c r="Q262" t="str">
        <f t="shared" si="6"/>
        <v/>
      </c>
      <c r="R262" t="str">
        <f t="shared" si="7"/>
        <v/>
      </c>
    </row>
    <row r="263" spans="6:18" x14ac:dyDescent="0.25">
      <c r="F263"/>
      <c r="G263" s="20"/>
      <c r="H263" s="21"/>
      <c r="K263" s="23"/>
      <c r="L263" t="str">
        <f>IF(K263="","",IFERROR(_xlfn.XLOOKUP(K263,verfvoorraad!C:C,verfvoorraad!B:B),IFERROR(_xlfn.XLOOKUP(IF(LEFT(UPPER(K263),4)="REV-","REV-"&amp;VALUE(MID(K263,5,99)),IF(LEN(K263)=5,LEFT(K263,2)&amp;"."&amp;RIGHT(K263,3),K263)),verfvoorraad!E:E,verfvoorraad!B:B),"Niet gevonden")))</f>
        <v/>
      </c>
      <c r="M263" t="str">
        <f>IF(K263="","",IFERROR(_xlfn.XLOOKUP(K263,verfvoorraad!C:C,verfvoorraad!D:D),IFERROR(_xlfn.XLOOKUP(IF(LEFT(UPPER(K263),4)="REV-","REV-"&amp;VALUE(MID(K263,5,99)),IF(LEN(K263)=5,LEFT(K263,2)&amp;"."&amp;RIGHT(K263,3),K263)),verfvoorraad!E:E,verfvoorraad!D:D),"Niet gevonden")))</f>
        <v/>
      </c>
      <c r="N263" t="str">
        <f>IF(K263="","",IFERROR(_xlfn.XLOOKUP(K263,verfvoorraad!C:C,verfvoorraad!E:E),IFERROR(_xlfn.XLOOKUP(IF(LEFT(UPPER(K263),4)="REV-","REV-"&amp;VALUE(MID(K263,5,99)),IF(LEN(K263)=5,LEFT(K263,2)&amp;"."&amp;RIGHT(K263,3),K263)),verfvoorraad!E:E,verfvoorraad!E:E),"Niet gevonden")))</f>
        <v/>
      </c>
      <c r="O263" t="str">
        <f>IF(K263="","",IFERROR(_xlfn.XLOOKUP(K263,verfvoorraad!C:C,verfvoorraad!F:F),IFERROR(_xlfn.XLOOKUP(IF(LEFT(UPPER(K263),4)="REV-","REV-"&amp;VALUE(MID(K263,5,99)),IF(LEN(K263)=5,LEFT(K263,2)&amp;"."&amp;RIGHT(K263,3),K263)),verfvoorraad!E:E,verfvoorraad!F:F),"Niet gevonden")))</f>
        <v/>
      </c>
      <c r="P263" t="str">
        <f>IF(K263="","",IFERROR(_xlfn.XLOOKUP(K263,verfvoorraad!C:C,verfvoorraad!G:G),IFERROR(_xlfn.XLOOKUP(IF(LEFT(UPPER(K263),4)="REV-","REV-"&amp;VALUE(MID(K263,5,99)),IF(LEN(K263)=5,LEFT(K263,2)&amp;"."&amp;RIGHT(K263,3),K263)),verfvoorraad!E:E,verfvoorraad!G:G),"Niet gevonden")))</f>
        <v/>
      </c>
      <c r="Q263" t="str">
        <f t="shared" si="6"/>
        <v/>
      </c>
      <c r="R263" t="str">
        <f t="shared" si="7"/>
        <v/>
      </c>
    </row>
    <row r="264" spans="6:18" x14ac:dyDescent="0.25">
      <c r="F264"/>
      <c r="G264" s="20"/>
      <c r="H264" s="21"/>
      <c r="K264" s="23"/>
      <c r="L264" t="str">
        <f>IF(K264="","",IFERROR(_xlfn.XLOOKUP(K264,verfvoorraad!C:C,verfvoorraad!B:B),IFERROR(_xlfn.XLOOKUP(IF(LEFT(UPPER(K264),4)="REV-","REV-"&amp;VALUE(MID(K264,5,99)),IF(LEN(K264)=5,LEFT(K264,2)&amp;"."&amp;RIGHT(K264,3),K264)),verfvoorraad!E:E,verfvoorraad!B:B),"Niet gevonden")))</f>
        <v/>
      </c>
      <c r="M264" t="str">
        <f>IF(K264="","",IFERROR(_xlfn.XLOOKUP(K264,verfvoorraad!C:C,verfvoorraad!D:D),IFERROR(_xlfn.XLOOKUP(IF(LEFT(UPPER(K264),4)="REV-","REV-"&amp;VALUE(MID(K264,5,99)),IF(LEN(K264)=5,LEFT(K264,2)&amp;"."&amp;RIGHT(K264,3),K264)),verfvoorraad!E:E,verfvoorraad!D:D),"Niet gevonden")))</f>
        <v/>
      </c>
      <c r="N264" t="str">
        <f>IF(K264="","",IFERROR(_xlfn.XLOOKUP(K264,verfvoorraad!C:C,verfvoorraad!E:E),IFERROR(_xlfn.XLOOKUP(IF(LEFT(UPPER(K264),4)="REV-","REV-"&amp;VALUE(MID(K264,5,99)),IF(LEN(K264)=5,LEFT(K264,2)&amp;"."&amp;RIGHT(K264,3),K264)),verfvoorraad!E:E,verfvoorraad!E:E),"Niet gevonden")))</f>
        <v/>
      </c>
      <c r="O264" t="str">
        <f>IF(K264="","",IFERROR(_xlfn.XLOOKUP(K264,verfvoorraad!C:C,verfvoorraad!F:F),IFERROR(_xlfn.XLOOKUP(IF(LEFT(UPPER(K264),4)="REV-","REV-"&amp;VALUE(MID(K264,5,99)),IF(LEN(K264)=5,LEFT(K264,2)&amp;"."&amp;RIGHT(K264,3),K264)),verfvoorraad!E:E,verfvoorraad!F:F),"Niet gevonden")))</f>
        <v/>
      </c>
      <c r="P264" t="str">
        <f>IF(K264="","",IFERROR(_xlfn.XLOOKUP(K264,verfvoorraad!C:C,verfvoorraad!G:G),IFERROR(_xlfn.XLOOKUP(IF(LEFT(UPPER(K264),4)="REV-","REV-"&amp;VALUE(MID(K264,5,99)),IF(LEN(K264)=5,LEFT(K264,2)&amp;"."&amp;RIGHT(K264,3),K264)),verfvoorraad!E:E,verfvoorraad!G:G),"Niet gevonden")))</f>
        <v/>
      </c>
      <c r="Q264" t="str">
        <f t="shared" si="6"/>
        <v/>
      </c>
      <c r="R264" t="str">
        <f t="shared" si="7"/>
        <v/>
      </c>
    </row>
    <row r="265" spans="6:18" x14ac:dyDescent="0.25">
      <c r="F265"/>
      <c r="G265" s="20"/>
      <c r="H265" s="21"/>
      <c r="K265" s="23"/>
      <c r="L265" t="str">
        <f>IF(K265="","",IFERROR(_xlfn.XLOOKUP(K265,verfvoorraad!C:C,verfvoorraad!B:B),IFERROR(_xlfn.XLOOKUP(IF(LEFT(UPPER(K265),4)="REV-","REV-"&amp;VALUE(MID(K265,5,99)),IF(LEN(K265)=5,LEFT(K265,2)&amp;"."&amp;RIGHT(K265,3),K265)),verfvoorraad!E:E,verfvoorraad!B:B),"Niet gevonden")))</f>
        <v/>
      </c>
      <c r="M265" t="str">
        <f>IF(K265="","",IFERROR(_xlfn.XLOOKUP(K265,verfvoorraad!C:C,verfvoorraad!D:D),IFERROR(_xlfn.XLOOKUP(IF(LEFT(UPPER(K265),4)="REV-","REV-"&amp;VALUE(MID(K265,5,99)),IF(LEN(K265)=5,LEFT(K265,2)&amp;"."&amp;RIGHT(K265,3),K265)),verfvoorraad!E:E,verfvoorraad!D:D),"Niet gevonden")))</f>
        <v/>
      </c>
      <c r="N265" t="str">
        <f>IF(K265="","",IFERROR(_xlfn.XLOOKUP(K265,verfvoorraad!C:C,verfvoorraad!E:E),IFERROR(_xlfn.XLOOKUP(IF(LEFT(UPPER(K265),4)="REV-","REV-"&amp;VALUE(MID(K265,5,99)),IF(LEN(K265)=5,LEFT(K265,2)&amp;"."&amp;RIGHT(K265,3),K265)),verfvoorraad!E:E,verfvoorraad!E:E),"Niet gevonden")))</f>
        <v/>
      </c>
      <c r="O265" t="str">
        <f>IF(K265="","",IFERROR(_xlfn.XLOOKUP(K265,verfvoorraad!C:C,verfvoorraad!F:F),IFERROR(_xlfn.XLOOKUP(IF(LEFT(UPPER(K265),4)="REV-","REV-"&amp;VALUE(MID(K265,5,99)),IF(LEN(K265)=5,LEFT(K265,2)&amp;"."&amp;RIGHT(K265,3),K265)),verfvoorraad!E:E,verfvoorraad!F:F),"Niet gevonden")))</f>
        <v/>
      </c>
      <c r="P265" t="str">
        <f>IF(K265="","",IFERROR(_xlfn.XLOOKUP(K265,verfvoorraad!C:C,verfvoorraad!G:G),IFERROR(_xlfn.XLOOKUP(IF(LEFT(UPPER(K265),4)="REV-","REV-"&amp;VALUE(MID(K265,5,99)),IF(LEN(K265)=5,LEFT(K265,2)&amp;"."&amp;RIGHT(K265,3),K265)),verfvoorraad!E:E,verfvoorraad!G:G),"Niet gevonden")))</f>
        <v/>
      </c>
      <c r="Q265" t="str">
        <f t="shared" si="6"/>
        <v/>
      </c>
      <c r="R265" t="str">
        <f t="shared" si="7"/>
        <v/>
      </c>
    </row>
    <row r="266" spans="6:18" x14ac:dyDescent="0.25">
      <c r="F266"/>
      <c r="G266" s="20"/>
      <c r="H266" s="21"/>
      <c r="K266" s="23"/>
      <c r="L266" t="str">
        <f>IF(K266="","",IFERROR(_xlfn.XLOOKUP(K266,verfvoorraad!C:C,verfvoorraad!B:B),IFERROR(_xlfn.XLOOKUP(IF(LEFT(UPPER(K266),4)="REV-","REV-"&amp;VALUE(MID(K266,5,99)),IF(LEN(K266)=5,LEFT(K266,2)&amp;"."&amp;RIGHT(K266,3),K266)),verfvoorraad!E:E,verfvoorraad!B:B),"Niet gevonden")))</f>
        <v/>
      </c>
      <c r="M266" t="str">
        <f>IF(K266="","",IFERROR(_xlfn.XLOOKUP(K266,verfvoorraad!C:C,verfvoorraad!D:D),IFERROR(_xlfn.XLOOKUP(IF(LEFT(UPPER(K266),4)="REV-","REV-"&amp;VALUE(MID(K266,5,99)),IF(LEN(K266)=5,LEFT(K266,2)&amp;"."&amp;RIGHT(K266,3),K266)),verfvoorraad!E:E,verfvoorraad!D:D),"Niet gevonden")))</f>
        <v/>
      </c>
      <c r="N266" t="str">
        <f>IF(K266="","",IFERROR(_xlfn.XLOOKUP(K266,verfvoorraad!C:C,verfvoorraad!E:E),IFERROR(_xlfn.XLOOKUP(IF(LEFT(UPPER(K266),4)="REV-","REV-"&amp;VALUE(MID(K266,5,99)),IF(LEN(K266)=5,LEFT(K266,2)&amp;"."&amp;RIGHT(K266,3),K266)),verfvoorraad!E:E,verfvoorraad!E:E),"Niet gevonden")))</f>
        <v/>
      </c>
      <c r="O266" t="str">
        <f>IF(K266="","",IFERROR(_xlfn.XLOOKUP(K266,verfvoorraad!C:C,verfvoorraad!F:F),IFERROR(_xlfn.XLOOKUP(IF(LEFT(UPPER(K266),4)="REV-","REV-"&amp;VALUE(MID(K266,5,99)),IF(LEN(K266)=5,LEFT(K266,2)&amp;"."&amp;RIGHT(K266,3),K266)),verfvoorraad!E:E,verfvoorraad!F:F),"Niet gevonden")))</f>
        <v/>
      </c>
      <c r="P266" t="str">
        <f>IF(K266="","",IFERROR(_xlfn.XLOOKUP(K266,verfvoorraad!C:C,verfvoorraad!G:G),IFERROR(_xlfn.XLOOKUP(IF(LEFT(UPPER(K266),4)="REV-","REV-"&amp;VALUE(MID(K266,5,99)),IF(LEN(K266)=5,LEFT(K266,2)&amp;"."&amp;RIGHT(K266,3),K266)),verfvoorraad!E:E,verfvoorraad!G:G),"Niet gevonden")))</f>
        <v/>
      </c>
      <c r="Q266" t="str">
        <f t="shared" si="6"/>
        <v/>
      </c>
      <c r="R266" t="str">
        <f t="shared" si="7"/>
        <v/>
      </c>
    </row>
    <row r="267" spans="6:18" x14ac:dyDescent="0.25">
      <c r="F267"/>
      <c r="G267" s="20"/>
      <c r="H267" s="21"/>
      <c r="K267" s="23"/>
      <c r="L267" t="str">
        <f>IF(K267="","",IFERROR(_xlfn.XLOOKUP(K267,verfvoorraad!C:C,verfvoorraad!B:B),IFERROR(_xlfn.XLOOKUP(IF(LEFT(UPPER(K267),4)="REV-","REV-"&amp;VALUE(MID(K267,5,99)),IF(LEN(K267)=5,LEFT(K267,2)&amp;"."&amp;RIGHT(K267,3),K267)),verfvoorraad!E:E,verfvoorraad!B:B),"Niet gevonden")))</f>
        <v/>
      </c>
      <c r="M267" t="str">
        <f>IF(K267="","",IFERROR(_xlfn.XLOOKUP(K267,verfvoorraad!C:C,verfvoorraad!D:D),IFERROR(_xlfn.XLOOKUP(IF(LEFT(UPPER(K267),4)="REV-","REV-"&amp;VALUE(MID(K267,5,99)),IF(LEN(K267)=5,LEFT(K267,2)&amp;"."&amp;RIGHT(K267,3),K267)),verfvoorraad!E:E,verfvoorraad!D:D),"Niet gevonden")))</f>
        <v/>
      </c>
      <c r="N267" t="str">
        <f>IF(K267="","",IFERROR(_xlfn.XLOOKUP(K267,verfvoorraad!C:C,verfvoorraad!E:E),IFERROR(_xlfn.XLOOKUP(IF(LEFT(UPPER(K267),4)="REV-","REV-"&amp;VALUE(MID(K267,5,99)),IF(LEN(K267)=5,LEFT(K267,2)&amp;"."&amp;RIGHT(K267,3),K267)),verfvoorraad!E:E,verfvoorraad!E:E),"Niet gevonden")))</f>
        <v/>
      </c>
      <c r="O267" t="str">
        <f>IF(K267="","",IFERROR(_xlfn.XLOOKUP(K267,verfvoorraad!C:C,verfvoorraad!F:F),IFERROR(_xlfn.XLOOKUP(IF(LEFT(UPPER(K267),4)="REV-","REV-"&amp;VALUE(MID(K267,5,99)),IF(LEN(K267)=5,LEFT(K267,2)&amp;"."&amp;RIGHT(K267,3),K267)),verfvoorraad!E:E,verfvoorraad!F:F),"Niet gevonden")))</f>
        <v/>
      </c>
      <c r="P267" t="str">
        <f>IF(K267="","",IFERROR(_xlfn.XLOOKUP(K267,verfvoorraad!C:C,verfvoorraad!G:G),IFERROR(_xlfn.XLOOKUP(IF(LEFT(UPPER(K267),4)="REV-","REV-"&amp;VALUE(MID(K267,5,99)),IF(LEN(K267)=5,LEFT(K267,2)&amp;"."&amp;RIGHT(K267,3),K267)),verfvoorraad!E:E,verfvoorraad!G:G),"Niet gevonden")))</f>
        <v/>
      </c>
      <c r="Q267" t="str">
        <f t="shared" si="6"/>
        <v/>
      </c>
      <c r="R267" t="str">
        <f t="shared" si="7"/>
        <v/>
      </c>
    </row>
    <row r="268" spans="6:18" x14ac:dyDescent="0.25">
      <c r="F268"/>
      <c r="G268" s="20"/>
      <c r="H268" s="21"/>
      <c r="K268" s="23"/>
      <c r="L268" t="str">
        <f>IF(K268="","",IFERROR(_xlfn.XLOOKUP(K268,verfvoorraad!C:C,verfvoorraad!B:B),IFERROR(_xlfn.XLOOKUP(IF(LEFT(UPPER(K268),4)="REV-","REV-"&amp;VALUE(MID(K268,5,99)),IF(LEN(K268)=5,LEFT(K268,2)&amp;"."&amp;RIGHT(K268,3),K268)),verfvoorraad!E:E,verfvoorraad!B:B),"Niet gevonden")))</f>
        <v/>
      </c>
      <c r="M268" t="str">
        <f>IF(K268="","",IFERROR(_xlfn.XLOOKUP(K268,verfvoorraad!C:C,verfvoorraad!D:D),IFERROR(_xlfn.XLOOKUP(IF(LEFT(UPPER(K268),4)="REV-","REV-"&amp;VALUE(MID(K268,5,99)),IF(LEN(K268)=5,LEFT(K268,2)&amp;"."&amp;RIGHT(K268,3),K268)),verfvoorraad!E:E,verfvoorraad!D:D),"Niet gevonden")))</f>
        <v/>
      </c>
      <c r="N268" t="str">
        <f>IF(K268="","",IFERROR(_xlfn.XLOOKUP(K268,verfvoorraad!C:C,verfvoorraad!E:E),IFERROR(_xlfn.XLOOKUP(IF(LEFT(UPPER(K268),4)="REV-","REV-"&amp;VALUE(MID(K268,5,99)),IF(LEN(K268)=5,LEFT(K268,2)&amp;"."&amp;RIGHT(K268,3),K268)),verfvoorraad!E:E,verfvoorraad!E:E),"Niet gevonden")))</f>
        <v/>
      </c>
      <c r="O268" t="str">
        <f>IF(K268="","",IFERROR(_xlfn.XLOOKUP(K268,verfvoorraad!C:C,verfvoorraad!F:F),IFERROR(_xlfn.XLOOKUP(IF(LEFT(UPPER(K268),4)="REV-","REV-"&amp;VALUE(MID(K268,5,99)),IF(LEN(K268)=5,LEFT(K268,2)&amp;"."&amp;RIGHT(K268,3),K268)),verfvoorraad!E:E,verfvoorraad!F:F),"Niet gevonden")))</f>
        <v/>
      </c>
      <c r="P268" t="str">
        <f>IF(K268="","",IFERROR(_xlfn.XLOOKUP(K268,verfvoorraad!C:C,verfvoorraad!G:G),IFERROR(_xlfn.XLOOKUP(IF(LEFT(UPPER(K268),4)="REV-","REV-"&amp;VALUE(MID(K268,5,99)),IF(LEN(K268)=5,LEFT(K268,2)&amp;"."&amp;RIGHT(K268,3),K268)),verfvoorraad!E:E,verfvoorraad!G:G),"Niet gevonden")))</f>
        <v/>
      </c>
      <c r="Q268" t="str">
        <f t="shared" si="6"/>
        <v/>
      </c>
      <c r="R268" t="str">
        <f t="shared" si="7"/>
        <v/>
      </c>
    </row>
    <row r="269" spans="6:18" x14ac:dyDescent="0.25">
      <c r="F269"/>
      <c r="G269" s="20"/>
      <c r="H269" s="21"/>
      <c r="K269" s="23"/>
      <c r="L269" t="str">
        <f>IF(K269="","",IFERROR(_xlfn.XLOOKUP(K269,verfvoorraad!C:C,verfvoorraad!B:B),IFERROR(_xlfn.XLOOKUP(IF(LEFT(UPPER(K269),4)="REV-","REV-"&amp;VALUE(MID(K269,5,99)),IF(LEN(K269)=5,LEFT(K269,2)&amp;"."&amp;RIGHT(K269,3),K269)),verfvoorraad!E:E,verfvoorraad!B:B),"Niet gevonden")))</f>
        <v/>
      </c>
      <c r="M269" t="str">
        <f>IF(K269="","",IFERROR(_xlfn.XLOOKUP(K269,verfvoorraad!C:C,verfvoorraad!D:D),IFERROR(_xlfn.XLOOKUP(IF(LEFT(UPPER(K269),4)="REV-","REV-"&amp;VALUE(MID(K269,5,99)),IF(LEN(K269)=5,LEFT(K269,2)&amp;"."&amp;RIGHT(K269,3),K269)),verfvoorraad!E:E,verfvoorraad!D:D),"Niet gevonden")))</f>
        <v/>
      </c>
      <c r="N269" t="str">
        <f>IF(K269="","",IFERROR(_xlfn.XLOOKUP(K269,verfvoorraad!C:C,verfvoorraad!E:E),IFERROR(_xlfn.XLOOKUP(IF(LEFT(UPPER(K269),4)="REV-","REV-"&amp;VALUE(MID(K269,5,99)),IF(LEN(K269)=5,LEFT(K269,2)&amp;"."&amp;RIGHT(K269,3),K269)),verfvoorraad!E:E,verfvoorraad!E:E),"Niet gevonden")))</f>
        <v/>
      </c>
      <c r="O269" t="str">
        <f>IF(K269="","",IFERROR(_xlfn.XLOOKUP(K269,verfvoorraad!C:C,verfvoorraad!F:F),IFERROR(_xlfn.XLOOKUP(IF(LEFT(UPPER(K269),4)="REV-","REV-"&amp;VALUE(MID(K269,5,99)),IF(LEN(K269)=5,LEFT(K269,2)&amp;"."&amp;RIGHT(K269,3),K269)),verfvoorraad!E:E,verfvoorraad!F:F),"Niet gevonden")))</f>
        <v/>
      </c>
      <c r="P269" t="str">
        <f>IF(K269="","",IFERROR(_xlfn.XLOOKUP(K269,verfvoorraad!C:C,verfvoorraad!G:G),IFERROR(_xlfn.XLOOKUP(IF(LEFT(UPPER(K269),4)="REV-","REV-"&amp;VALUE(MID(K269,5,99)),IF(LEN(K269)=5,LEFT(K269,2)&amp;"."&amp;RIGHT(K269,3),K269)),verfvoorraad!E:E,verfvoorraad!G:G),"Niet gevonden")))</f>
        <v/>
      </c>
      <c r="Q269" t="str">
        <f t="shared" si="6"/>
        <v/>
      </c>
      <c r="R269" t="str">
        <f t="shared" si="7"/>
        <v/>
      </c>
    </row>
    <row r="270" spans="6:18" x14ac:dyDescent="0.25">
      <c r="F270"/>
      <c r="G270" s="20"/>
      <c r="H270" s="21"/>
      <c r="K270" s="23"/>
      <c r="L270" t="str">
        <f>IF(K270="","",IFERROR(_xlfn.XLOOKUP(K270,verfvoorraad!C:C,verfvoorraad!B:B),IFERROR(_xlfn.XLOOKUP(IF(LEFT(UPPER(K270),4)="REV-","REV-"&amp;VALUE(MID(K270,5,99)),IF(LEN(K270)=5,LEFT(K270,2)&amp;"."&amp;RIGHT(K270,3),K270)),verfvoorraad!E:E,verfvoorraad!B:B),"Niet gevonden")))</f>
        <v/>
      </c>
      <c r="M270" t="str">
        <f>IF(K270="","",IFERROR(_xlfn.XLOOKUP(K270,verfvoorraad!C:C,verfvoorraad!D:D),IFERROR(_xlfn.XLOOKUP(IF(LEFT(UPPER(K270),4)="REV-","REV-"&amp;VALUE(MID(K270,5,99)),IF(LEN(K270)=5,LEFT(K270,2)&amp;"."&amp;RIGHT(K270,3),K270)),verfvoorraad!E:E,verfvoorraad!D:D),"Niet gevonden")))</f>
        <v/>
      </c>
      <c r="N270" t="str">
        <f>IF(K270="","",IFERROR(_xlfn.XLOOKUP(K270,verfvoorraad!C:C,verfvoorraad!E:E),IFERROR(_xlfn.XLOOKUP(IF(LEFT(UPPER(K270),4)="REV-","REV-"&amp;VALUE(MID(K270,5,99)),IF(LEN(K270)=5,LEFT(K270,2)&amp;"."&amp;RIGHT(K270,3),K270)),verfvoorraad!E:E,verfvoorraad!E:E),"Niet gevonden")))</f>
        <v/>
      </c>
      <c r="O270" t="str">
        <f>IF(K270="","",IFERROR(_xlfn.XLOOKUP(K270,verfvoorraad!C:C,verfvoorraad!F:F),IFERROR(_xlfn.XLOOKUP(IF(LEFT(UPPER(K270),4)="REV-","REV-"&amp;VALUE(MID(K270,5,99)),IF(LEN(K270)=5,LEFT(K270,2)&amp;"."&amp;RIGHT(K270,3),K270)),verfvoorraad!E:E,verfvoorraad!F:F),"Niet gevonden")))</f>
        <v/>
      </c>
      <c r="P270" t="str">
        <f>IF(K270="","",IFERROR(_xlfn.XLOOKUP(K270,verfvoorraad!C:C,verfvoorraad!G:G),IFERROR(_xlfn.XLOOKUP(IF(LEFT(UPPER(K270),4)="REV-","REV-"&amp;VALUE(MID(K270,5,99)),IF(LEN(K270)=5,LEFT(K270,2)&amp;"."&amp;RIGHT(K270,3),K270)),verfvoorraad!E:E,verfvoorraad!G:G),"Niet gevonden")))</f>
        <v/>
      </c>
      <c r="Q270" t="str">
        <f t="shared" si="6"/>
        <v/>
      </c>
      <c r="R270" t="str">
        <f t="shared" si="7"/>
        <v/>
      </c>
    </row>
    <row r="271" spans="6:18" x14ac:dyDescent="0.25">
      <c r="F271"/>
      <c r="G271" s="20"/>
      <c r="H271" s="21"/>
      <c r="K271" s="23"/>
      <c r="L271" t="str">
        <f>IF(K271="","",IFERROR(_xlfn.XLOOKUP(K271,verfvoorraad!C:C,verfvoorraad!B:B),IFERROR(_xlfn.XLOOKUP(IF(LEFT(UPPER(K271),4)="REV-","REV-"&amp;VALUE(MID(K271,5,99)),IF(LEN(K271)=5,LEFT(K271,2)&amp;"."&amp;RIGHT(K271,3),K271)),verfvoorraad!E:E,verfvoorraad!B:B),"Niet gevonden")))</f>
        <v/>
      </c>
      <c r="M271" t="str">
        <f>IF(K271="","",IFERROR(_xlfn.XLOOKUP(K271,verfvoorraad!C:C,verfvoorraad!D:D),IFERROR(_xlfn.XLOOKUP(IF(LEFT(UPPER(K271),4)="REV-","REV-"&amp;VALUE(MID(K271,5,99)),IF(LEN(K271)=5,LEFT(K271,2)&amp;"."&amp;RIGHT(K271,3),K271)),verfvoorraad!E:E,verfvoorraad!D:D),"Niet gevonden")))</f>
        <v/>
      </c>
      <c r="N271" t="str">
        <f>IF(K271="","",IFERROR(_xlfn.XLOOKUP(K271,verfvoorraad!C:C,verfvoorraad!E:E),IFERROR(_xlfn.XLOOKUP(IF(LEFT(UPPER(K271),4)="REV-","REV-"&amp;VALUE(MID(K271,5,99)),IF(LEN(K271)=5,LEFT(K271,2)&amp;"."&amp;RIGHT(K271,3),K271)),verfvoorraad!E:E,verfvoorraad!E:E),"Niet gevonden")))</f>
        <v/>
      </c>
      <c r="O271" t="str">
        <f>IF(K271="","",IFERROR(_xlfn.XLOOKUP(K271,verfvoorraad!C:C,verfvoorraad!F:F),IFERROR(_xlfn.XLOOKUP(IF(LEFT(UPPER(K271),4)="REV-","REV-"&amp;VALUE(MID(K271,5,99)),IF(LEN(K271)=5,LEFT(K271,2)&amp;"."&amp;RIGHT(K271,3),K271)),verfvoorraad!E:E,verfvoorraad!F:F),"Niet gevonden")))</f>
        <v/>
      </c>
      <c r="P271" t="str">
        <f>IF(K271="","",IFERROR(_xlfn.XLOOKUP(K271,verfvoorraad!C:C,verfvoorraad!G:G),IFERROR(_xlfn.XLOOKUP(IF(LEFT(UPPER(K271),4)="REV-","REV-"&amp;VALUE(MID(K271,5,99)),IF(LEN(K271)=5,LEFT(K271,2)&amp;"."&amp;RIGHT(K271,3),K271)),verfvoorraad!E:E,verfvoorraad!G:G),"Niet gevonden")))</f>
        <v/>
      </c>
      <c r="Q271" t="str">
        <f t="shared" si="6"/>
        <v/>
      </c>
      <c r="R271" t="str">
        <f t="shared" si="7"/>
        <v/>
      </c>
    </row>
    <row r="272" spans="6:18" x14ac:dyDescent="0.25">
      <c r="F272"/>
      <c r="G272" s="20"/>
      <c r="H272" s="21"/>
      <c r="K272" s="23"/>
      <c r="L272" t="str">
        <f>IF(K272="","",IFERROR(_xlfn.XLOOKUP(K272,verfvoorraad!C:C,verfvoorraad!B:B),IFERROR(_xlfn.XLOOKUP(IF(LEFT(UPPER(K272),4)="REV-","REV-"&amp;VALUE(MID(K272,5,99)),IF(LEN(K272)=5,LEFT(K272,2)&amp;"."&amp;RIGHT(K272,3),K272)),verfvoorraad!E:E,verfvoorraad!B:B),"Niet gevonden")))</f>
        <v/>
      </c>
      <c r="M272" t="str">
        <f>IF(K272="","",IFERROR(_xlfn.XLOOKUP(K272,verfvoorraad!C:C,verfvoorraad!D:D),IFERROR(_xlfn.XLOOKUP(IF(LEFT(UPPER(K272),4)="REV-","REV-"&amp;VALUE(MID(K272,5,99)),IF(LEN(K272)=5,LEFT(K272,2)&amp;"."&amp;RIGHT(K272,3),K272)),verfvoorraad!E:E,verfvoorraad!D:D),"Niet gevonden")))</f>
        <v/>
      </c>
      <c r="N272" t="str">
        <f>IF(K272="","",IFERROR(_xlfn.XLOOKUP(K272,verfvoorraad!C:C,verfvoorraad!E:E),IFERROR(_xlfn.XLOOKUP(IF(LEFT(UPPER(K272),4)="REV-","REV-"&amp;VALUE(MID(K272,5,99)),IF(LEN(K272)=5,LEFT(K272,2)&amp;"."&amp;RIGHT(K272,3),K272)),verfvoorraad!E:E,verfvoorraad!E:E),"Niet gevonden")))</f>
        <v/>
      </c>
      <c r="O272" t="str">
        <f>IF(K272="","",IFERROR(_xlfn.XLOOKUP(K272,verfvoorraad!C:C,verfvoorraad!F:F),IFERROR(_xlfn.XLOOKUP(IF(LEFT(UPPER(K272),4)="REV-","REV-"&amp;VALUE(MID(K272,5,99)),IF(LEN(K272)=5,LEFT(K272,2)&amp;"."&amp;RIGHT(K272,3),K272)),verfvoorraad!E:E,verfvoorraad!F:F),"Niet gevonden")))</f>
        <v/>
      </c>
      <c r="P272" t="str">
        <f>IF(K272="","",IFERROR(_xlfn.XLOOKUP(K272,verfvoorraad!C:C,verfvoorraad!G:G),IFERROR(_xlfn.XLOOKUP(IF(LEFT(UPPER(K272),4)="REV-","REV-"&amp;VALUE(MID(K272,5,99)),IF(LEN(K272)=5,LEFT(K272,2)&amp;"."&amp;RIGHT(K272,3),K272)),verfvoorraad!E:E,verfvoorraad!G:G),"Niet gevonden")))</f>
        <v/>
      </c>
      <c r="Q272" t="str">
        <f t="shared" si="6"/>
        <v/>
      </c>
      <c r="R272" t="str">
        <f t="shared" si="7"/>
        <v/>
      </c>
    </row>
    <row r="273" spans="6:18" x14ac:dyDescent="0.25">
      <c r="F273"/>
      <c r="G273" s="20"/>
      <c r="H273" s="21"/>
      <c r="K273" s="23"/>
      <c r="L273" t="str">
        <f>IF(K273="","",IFERROR(_xlfn.XLOOKUP(K273,verfvoorraad!C:C,verfvoorraad!B:B),IFERROR(_xlfn.XLOOKUP(IF(LEFT(UPPER(K273),4)="REV-","REV-"&amp;VALUE(MID(K273,5,99)),IF(LEN(K273)=5,LEFT(K273,2)&amp;"."&amp;RIGHT(K273,3),K273)),verfvoorraad!E:E,verfvoorraad!B:B),"Niet gevonden")))</f>
        <v/>
      </c>
      <c r="M273" t="str">
        <f>IF(K273="","",IFERROR(_xlfn.XLOOKUP(K273,verfvoorraad!C:C,verfvoorraad!D:D),IFERROR(_xlfn.XLOOKUP(IF(LEFT(UPPER(K273),4)="REV-","REV-"&amp;VALUE(MID(K273,5,99)),IF(LEN(K273)=5,LEFT(K273,2)&amp;"."&amp;RIGHT(K273,3),K273)),verfvoorraad!E:E,verfvoorraad!D:D),"Niet gevonden")))</f>
        <v/>
      </c>
      <c r="N273" t="str">
        <f>IF(K273="","",IFERROR(_xlfn.XLOOKUP(K273,verfvoorraad!C:C,verfvoorraad!E:E),IFERROR(_xlfn.XLOOKUP(IF(LEFT(UPPER(K273),4)="REV-","REV-"&amp;VALUE(MID(K273,5,99)),IF(LEN(K273)=5,LEFT(K273,2)&amp;"."&amp;RIGHT(K273,3),K273)),verfvoorraad!E:E,verfvoorraad!E:E),"Niet gevonden")))</f>
        <v/>
      </c>
      <c r="O273" t="str">
        <f>IF(K273="","",IFERROR(_xlfn.XLOOKUP(K273,verfvoorraad!C:C,verfvoorraad!F:F),IFERROR(_xlfn.XLOOKUP(IF(LEFT(UPPER(K273),4)="REV-","REV-"&amp;VALUE(MID(K273,5,99)),IF(LEN(K273)=5,LEFT(K273,2)&amp;"."&amp;RIGHT(K273,3),K273)),verfvoorraad!E:E,verfvoorraad!F:F),"Niet gevonden")))</f>
        <v/>
      </c>
      <c r="P273" t="str">
        <f>IF(K273="","",IFERROR(_xlfn.XLOOKUP(K273,verfvoorraad!C:C,verfvoorraad!G:G),IFERROR(_xlfn.XLOOKUP(IF(LEFT(UPPER(K273),4)="REV-","REV-"&amp;VALUE(MID(K273,5,99)),IF(LEN(K273)=5,LEFT(K273,2)&amp;"."&amp;RIGHT(K273,3),K273)),verfvoorraad!E:E,verfvoorraad!G:G),"Niet gevonden")))</f>
        <v/>
      </c>
      <c r="Q273" t="str">
        <f t="shared" si="6"/>
        <v/>
      </c>
      <c r="R273" t="str">
        <f t="shared" si="7"/>
        <v/>
      </c>
    </row>
    <row r="274" spans="6:18" x14ac:dyDescent="0.25">
      <c r="F274"/>
      <c r="G274" s="20"/>
      <c r="H274" s="21"/>
      <c r="K274" s="23"/>
      <c r="L274" t="str">
        <f>IF(K274="","",IFERROR(_xlfn.XLOOKUP(K274,verfvoorraad!C:C,verfvoorraad!B:B),IFERROR(_xlfn.XLOOKUP(IF(LEFT(UPPER(K274),4)="REV-","REV-"&amp;VALUE(MID(K274,5,99)),IF(LEN(K274)=5,LEFT(K274,2)&amp;"."&amp;RIGHT(K274,3),K274)),verfvoorraad!E:E,verfvoorraad!B:B),"Niet gevonden")))</f>
        <v/>
      </c>
      <c r="M274" t="str">
        <f>IF(K274="","",IFERROR(_xlfn.XLOOKUP(K274,verfvoorraad!C:C,verfvoorraad!D:D),IFERROR(_xlfn.XLOOKUP(IF(LEFT(UPPER(K274),4)="REV-","REV-"&amp;VALUE(MID(K274,5,99)),IF(LEN(K274)=5,LEFT(K274,2)&amp;"."&amp;RIGHT(K274,3),K274)),verfvoorraad!E:E,verfvoorraad!D:D),"Niet gevonden")))</f>
        <v/>
      </c>
      <c r="N274" t="str">
        <f>IF(K274="","",IFERROR(_xlfn.XLOOKUP(K274,verfvoorraad!C:C,verfvoorraad!E:E),IFERROR(_xlfn.XLOOKUP(IF(LEFT(UPPER(K274),4)="REV-","REV-"&amp;VALUE(MID(K274,5,99)),IF(LEN(K274)=5,LEFT(K274,2)&amp;"."&amp;RIGHT(K274,3),K274)),verfvoorraad!E:E,verfvoorraad!E:E),"Niet gevonden")))</f>
        <v/>
      </c>
      <c r="O274" t="str">
        <f>IF(K274="","",IFERROR(_xlfn.XLOOKUP(K274,verfvoorraad!C:C,verfvoorraad!F:F),IFERROR(_xlfn.XLOOKUP(IF(LEFT(UPPER(K274),4)="REV-","REV-"&amp;VALUE(MID(K274,5,99)),IF(LEN(K274)=5,LEFT(K274,2)&amp;"."&amp;RIGHT(K274,3),K274)),verfvoorraad!E:E,verfvoorraad!F:F),"Niet gevonden")))</f>
        <v/>
      </c>
      <c r="P274" t="str">
        <f>IF(K274="","",IFERROR(_xlfn.XLOOKUP(K274,verfvoorraad!C:C,verfvoorraad!G:G),IFERROR(_xlfn.XLOOKUP(IF(LEFT(UPPER(K274),4)="REV-","REV-"&amp;VALUE(MID(K274,5,99)),IF(LEN(K274)=5,LEFT(K274,2)&amp;"."&amp;RIGHT(K274,3),K274)),verfvoorraad!E:E,verfvoorraad!G:G),"Niet gevonden")))</f>
        <v/>
      </c>
      <c r="Q274" t="str">
        <f t="shared" si="6"/>
        <v/>
      </c>
      <c r="R274" t="str">
        <f t="shared" si="7"/>
        <v/>
      </c>
    </row>
    <row r="275" spans="6:18" x14ac:dyDescent="0.25">
      <c r="F275"/>
      <c r="G275" s="20"/>
      <c r="H275" s="21"/>
      <c r="K275" s="23"/>
      <c r="L275" t="str">
        <f>IF(K275="","",IFERROR(_xlfn.XLOOKUP(K275,verfvoorraad!C:C,verfvoorraad!B:B),IFERROR(_xlfn.XLOOKUP(IF(LEFT(UPPER(K275),4)="REV-","REV-"&amp;VALUE(MID(K275,5,99)),IF(LEN(K275)=5,LEFT(K275,2)&amp;"."&amp;RIGHT(K275,3),K275)),verfvoorraad!E:E,verfvoorraad!B:B),"Niet gevonden")))</f>
        <v/>
      </c>
      <c r="M275" t="str">
        <f>IF(K275="","",IFERROR(_xlfn.XLOOKUP(K275,verfvoorraad!C:C,verfvoorraad!D:D),IFERROR(_xlfn.XLOOKUP(IF(LEFT(UPPER(K275),4)="REV-","REV-"&amp;VALUE(MID(K275,5,99)),IF(LEN(K275)=5,LEFT(K275,2)&amp;"."&amp;RIGHT(K275,3),K275)),verfvoorraad!E:E,verfvoorraad!D:D),"Niet gevonden")))</f>
        <v/>
      </c>
      <c r="N275" t="str">
        <f>IF(K275="","",IFERROR(_xlfn.XLOOKUP(K275,verfvoorraad!C:C,verfvoorraad!E:E),IFERROR(_xlfn.XLOOKUP(IF(LEFT(UPPER(K275),4)="REV-","REV-"&amp;VALUE(MID(K275,5,99)),IF(LEN(K275)=5,LEFT(K275,2)&amp;"."&amp;RIGHT(K275,3),K275)),verfvoorraad!E:E,verfvoorraad!E:E),"Niet gevonden")))</f>
        <v/>
      </c>
      <c r="O275" t="str">
        <f>IF(K275="","",IFERROR(_xlfn.XLOOKUP(K275,verfvoorraad!C:C,verfvoorraad!F:F),IFERROR(_xlfn.XLOOKUP(IF(LEFT(UPPER(K275),4)="REV-","REV-"&amp;VALUE(MID(K275,5,99)),IF(LEN(K275)=5,LEFT(K275,2)&amp;"."&amp;RIGHT(K275,3),K275)),verfvoorraad!E:E,verfvoorraad!F:F),"Niet gevonden")))</f>
        <v/>
      </c>
      <c r="P275" t="str">
        <f>IF(K275="","",IFERROR(_xlfn.XLOOKUP(K275,verfvoorraad!C:C,verfvoorraad!G:G),IFERROR(_xlfn.XLOOKUP(IF(LEFT(UPPER(K275),4)="REV-","REV-"&amp;VALUE(MID(K275,5,99)),IF(LEN(K275)=5,LEFT(K275,2)&amp;"."&amp;RIGHT(K275,3),K275)),verfvoorraad!E:E,verfvoorraad!G:G),"Niet gevonden")))</f>
        <v/>
      </c>
      <c r="Q275" t="str">
        <f t="shared" si="6"/>
        <v/>
      </c>
      <c r="R275" t="str">
        <f t="shared" si="7"/>
        <v/>
      </c>
    </row>
    <row r="276" spans="6:18" x14ac:dyDescent="0.25">
      <c r="F276"/>
      <c r="G276" s="20"/>
      <c r="H276" s="21"/>
      <c r="K276" s="23"/>
      <c r="L276" t="str">
        <f>IF(K276="","",IFERROR(_xlfn.XLOOKUP(K276,verfvoorraad!C:C,verfvoorraad!B:B),IFERROR(_xlfn.XLOOKUP(IF(LEFT(UPPER(K276),4)="REV-","REV-"&amp;VALUE(MID(K276,5,99)),IF(LEN(K276)=5,LEFT(K276,2)&amp;"."&amp;RIGHT(K276,3),K276)),verfvoorraad!E:E,verfvoorraad!B:B),"Niet gevonden")))</f>
        <v/>
      </c>
      <c r="M276" t="str">
        <f>IF(K276="","",IFERROR(_xlfn.XLOOKUP(K276,verfvoorraad!C:C,verfvoorraad!D:D),IFERROR(_xlfn.XLOOKUP(IF(LEFT(UPPER(K276),4)="REV-","REV-"&amp;VALUE(MID(K276,5,99)),IF(LEN(K276)=5,LEFT(K276,2)&amp;"."&amp;RIGHT(K276,3),K276)),verfvoorraad!E:E,verfvoorraad!D:D),"Niet gevonden")))</f>
        <v/>
      </c>
      <c r="N276" t="str">
        <f>IF(K276="","",IFERROR(_xlfn.XLOOKUP(K276,verfvoorraad!C:C,verfvoorraad!E:E),IFERROR(_xlfn.XLOOKUP(IF(LEFT(UPPER(K276),4)="REV-","REV-"&amp;VALUE(MID(K276,5,99)),IF(LEN(K276)=5,LEFT(K276,2)&amp;"."&amp;RIGHT(K276,3),K276)),verfvoorraad!E:E,verfvoorraad!E:E),"Niet gevonden")))</f>
        <v/>
      </c>
      <c r="O276" t="str">
        <f>IF(K276="","",IFERROR(_xlfn.XLOOKUP(K276,verfvoorraad!C:C,verfvoorraad!F:F),IFERROR(_xlfn.XLOOKUP(IF(LEFT(UPPER(K276),4)="REV-","REV-"&amp;VALUE(MID(K276,5,99)),IF(LEN(K276)=5,LEFT(K276,2)&amp;"."&amp;RIGHT(K276,3),K276)),verfvoorraad!E:E,verfvoorraad!F:F),"Niet gevonden")))</f>
        <v/>
      </c>
      <c r="P276" t="str">
        <f>IF(K276="","",IFERROR(_xlfn.XLOOKUP(K276,verfvoorraad!C:C,verfvoorraad!G:G),IFERROR(_xlfn.XLOOKUP(IF(LEFT(UPPER(K276),4)="REV-","REV-"&amp;VALUE(MID(K276,5,99)),IF(LEN(K276)=5,LEFT(K276,2)&amp;"."&amp;RIGHT(K276,3),K276)),verfvoorraad!E:E,verfvoorraad!G:G),"Niet gevonden")))</f>
        <v/>
      </c>
      <c r="Q276" t="str">
        <f t="shared" si="6"/>
        <v/>
      </c>
      <c r="R276" t="str">
        <f t="shared" si="7"/>
        <v/>
      </c>
    </row>
    <row r="277" spans="6:18" x14ac:dyDescent="0.25">
      <c r="F277"/>
      <c r="G277" s="20"/>
      <c r="H277" s="21"/>
      <c r="K277" s="23"/>
      <c r="L277" t="str">
        <f>IF(K277="","",IFERROR(_xlfn.XLOOKUP(K277,verfvoorraad!C:C,verfvoorraad!B:B),IFERROR(_xlfn.XLOOKUP(IF(LEFT(UPPER(K277),4)="REV-","REV-"&amp;VALUE(MID(K277,5,99)),IF(LEN(K277)=5,LEFT(K277,2)&amp;"."&amp;RIGHT(K277,3),K277)),verfvoorraad!E:E,verfvoorraad!B:B),"Niet gevonden")))</f>
        <v/>
      </c>
      <c r="M277" t="str">
        <f>IF(K277="","",IFERROR(_xlfn.XLOOKUP(K277,verfvoorraad!C:C,verfvoorraad!D:D),IFERROR(_xlfn.XLOOKUP(IF(LEFT(UPPER(K277),4)="REV-","REV-"&amp;VALUE(MID(K277,5,99)),IF(LEN(K277)=5,LEFT(K277,2)&amp;"."&amp;RIGHT(K277,3),K277)),verfvoorraad!E:E,verfvoorraad!D:D),"Niet gevonden")))</f>
        <v/>
      </c>
      <c r="N277" t="str">
        <f>IF(K277="","",IFERROR(_xlfn.XLOOKUP(K277,verfvoorraad!C:C,verfvoorraad!E:E),IFERROR(_xlfn.XLOOKUP(IF(LEFT(UPPER(K277),4)="REV-","REV-"&amp;VALUE(MID(K277,5,99)),IF(LEN(K277)=5,LEFT(K277,2)&amp;"."&amp;RIGHT(K277,3),K277)),verfvoorraad!E:E,verfvoorraad!E:E),"Niet gevonden")))</f>
        <v/>
      </c>
      <c r="O277" t="str">
        <f>IF(K277="","",IFERROR(_xlfn.XLOOKUP(K277,verfvoorraad!C:C,verfvoorraad!F:F),IFERROR(_xlfn.XLOOKUP(IF(LEFT(UPPER(K277),4)="REV-","REV-"&amp;VALUE(MID(K277,5,99)),IF(LEN(K277)=5,LEFT(K277,2)&amp;"."&amp;RIGHT(K277,3),K277)),verfvoorraad!E:E,verfvoorraad!F:F),"Niet gevonden")))</f>
        <v/>
      </c>
      <c r="P277" t="str">
        <f>IF(K277="","",IFERROR(_xlfn.XLOOKUP(K277,verfvoorraad!C:C,verfvoorraad!G:G),IFERROR(_xlfn.XLOOKUP(IF(LEFT(UPPER(K277),4)="REV-","REV-"&amp;VALUE(MID(K277,5,99)),IF(LEN(K277)=5,LEFT(K277,2)&amp;"."&amp;RIGHT(K277,3),K277)),verfvoorraad!E:E,verfvoorraad!G:G),"Niet gevonden")))</f>
        <v/>
      </c>
      <c r="Q277" t="str">
        <f t="shared" ref="Q277:Q340" si="8">IF(K277="","",IF(O277="Ja","Nee",IF(O277="Nee","Ja",IF(O277="Niet gevonden","Niet gevonden",""))))</f>
        <v/>
      </c>
      <c r="R277" t="str">
        <f t="shared" ref="R277:R340" si="9">IF(Q277="Ja","Toevoegen","")</f>
        <v/>
      </c>
    </row>
    <row r="278" spans="6:18" x14ac:dyDescent="0.25">
      <c r="F278"/>
      <c r="G278" s="20"/>
      <c r="H278" s="21"/>
      <c r="K278" s="23"/>
      <c r="L278" t="str">
        <f>IF(K278="","",IFERROR(_xlfn.XLOOKUP(K278,verfvoorraad!C:C,verfvoorraad!B:B),IFERROR(_xlfn.XLOOKUP(IF(LEFT(UPPER(K278),4)="REV-","REV-"&amp;VALUE(MID(K278,5,99)),IF(LEN(K278)=5,LEFT(K278,2)&amp;"."&amp;RIGHT(K278,3),K278)),verfvoorraad!E:E,verfvoorraad!B:B),"Niet gevonden")))</f>
        <v/>
      </c>
      <c r="M278" t="str">
        <f>IF(K278="","",IFERROR(_xlfn.XLOOKUP(K278,verfvoorraad!C:C,verfvoorraad!D:D),IFERROR(_xlfn.XLOOKUP(IF(LEFT(UPPER(K278),4)="REV-","REV-"&amp;VALUE(MID(K278,5,99)),IF(LEN(K278)=5,LEFT(K278,2)&amp;"."&amp;RIGHT(K278,3),K278)),verfvoorraad!E:E,verfvoorraad!D:D),"Niet gevonden")))</f>
        <v/>
      </c>
      <c r="N278" t="str">
        <f>IF(K278="","",IFERROR(_xlfn.XLOOKUP(K278,verfvoorraad!C:C,verfvoorraad!E:E),IFERROR(_xlfn.XLOOKUP(IF(LEFT(UPPER(K278),4)="REV-","REV-"&amp;VALUE(MID(K278,5,99)),IF(LEN(K278)=5,LEFT(K278,2)&amp;"."&amp;RIGHT(K278,3),K278)),verfvoorraad!E:E,verfvoorraad!E:E),"Niet gevonden")))</f>
        <v/>
      </c>
      <c r="O278" t="str">
        <f>IF(K278="","",IFERROR(_xlfn.XLOOKUP(K278,verfvoorraad!C:C,verfvoorraad!F:F),IFERROR(_xlfn.XLOOKUP(IF(LEFT(UPPER(K278),4)="REV-","REV-"&amp;VALUE(MID(K278,5,99)),IF(LEN(K278)=5,LEFT(K278,2)&amp;"."&amp;RIGHT(K278,3),K278)),verfvoorraad!E:E,verfvoorraad!F:F),"Niet gevonden")))</f>
        <v/>
      </c>
      <c r="P278" t="str">
        <f>IF(K278="","",IFERROR(_xlfn.XLOOKUP(K278,verfvoorraad!C:C,verfvoorraad!G:G),IFERROR(_xlfn.XLOOKUP(IF(LEFT(UPPER(K278),4)="REV-","REV-"&amp;VALUE(MID(K278,5,99)),IF(LEN(K278)=5,LEFT(K278,2)&amp;"."&amp;RIGHT(K278,3),K278)),verfvoorraad!E:E,verfvoorraad!G:G),"Niet gevonden")))</f>
        <v/>
      </c>
      <c r="Q278" t="str">
        <f t="shared" si="8"/>
        <v/>
      </c>
      <c r="R278" t="str">
        <f t="shared" si="9"/>
        <v/>
      </c>
    </row>
    <row r="279" spans="6:18" x14ac:dyDescent="0.25">
      <c r="F279"/>
      <c r="G279" s="20"/>
      <c r="H279" s="21"/>
      <c r="K279" s="23"/>
      <c r="L279" t="str">
        <f>IF(K279="","",IFERROR(_xlfn.XLOOKUP(K279,verfvoorraad!C:C,verfvoorraad!B:B),IFERROR(_xlfn.XLOOKUP(IF(LEFT(UPPER(K279),4)="REV-","REV-"&amp;VALUE(MID(K279,5,99)),IF(LEN(K279)=5,LEFT(K279,2)&amp;"."&amp;RIGHT(K279,3),K279)),verfvoorraad!E:E,verfvoorraad!B:B),"Niet gevonden")))</f>
        <v/>
      </c>
      <c r="M279" t="str">
        <f>IF(K279="","",IFERROR(_xlfn.XLOOKUP(K279,verfvoorraad!C:C,verfvoorraad!D:D),IFERROR(_xlfn.XLOOKUP(IF(LEFT(UPPER(K279),4)="REV-","REV-"&amp;VALUE(MID(K279,5,99)),IF(LEN(K279)=5,LEFT(K279,2)&amp;"."&amp;RIGHT(K279,3),K279)),verfvoorraad!E:E,verfvoorraad!D:D),"Niet gevonden")))</f>
        <v/>
      </c>
      <c r="N279" t="str">
        <f>IF(K279="","",IFERROR(_xlfn.XLOOKUP(K279,verfvoorraad!C:C,verfvoorraad!E:E),IFERROR(_xlfn.XLOOKUP(IF(LEFT(UPPER(K279),4)="REV-","REV-"&amp;VALUE(MID(K279,5,99)),IF(LEN(K279)=5,LEFT(K279,2)&amp;"."&amp;RIGHT(K279,3),K279)),verfvoorraad!E:E,verfvoorraad!E:E),"Niet gevonden")))</f>
        <v/>
      </c>
      <c r="O279" t="str">
        <f>IF(K279="","",IFERROR(_xlfn.XLOOKUP(K279,verfvoorraad!C:C,verfvoorraad!F:F),IFERROR(_xlfn.XLOOKUP(IF(LEFT(UPPER(K279),4)="REV-","REV-"&amp;VALUE(MID(K279,5,99)),IF(LEN(K279)=5,LEFT(K279,2)&amp;"."&amp;RIGHT(K279,3),K279)),verfvoorraad!E:E,verfvoorraad!F:F),"Niet gevonden")))</f>
        <v/>
      </c>
      <c r="P279" t="str">
        <f>IF(K279="","",IFERROR(_xlfn.XLOOKUP(K279,verfvoorraad!C:C,verfvoorraad!G:G),IFERROR(_xlfn.XLOOKUP(IF(LEFT(UPPER(K279),4)="REV-","REV-"&amp;VALUE(MID(K279,5,99)),IF(LEN(K279)=5,LEFT(K279,2)&amp;"."&amp;RIGHT(K279,3),K279)),verfvoorraad!E:E,verfvoorraad!G:G),"Niet gevonden")))</f>
        <v/>
      </c>
      <c r="Q279" t="str">
        <f t="shared" si="8"/>
        <v/>
      </c>
      <c r="R279" t="str">
        <f t="shared" si="9"/>
        <v/>
      </c>
    </row>
    <row r="280" spans="6:18" x14ac:dyDescent="0.25">
      <c r="F280"/>
      <c r="G280" s="20"/>
      <c r="H280" s="21"/>
      <c r="K280" s="23"/>
      <c r="L280" t="str">
        <f>IF(K280="","",IFERROR(_xlfn.XLOOKUP(K280,verfvoorraad!C:C,verfvoorraad!B:B),IFERROR(_xlfn.XLOOKUP(IF(LEFT(UPPER(K280),4)="REV-","REV-"&amp;VALUE(MID(K280,5,99)),IF(LEN(K280)=5,LEFT(K280,2)&amp;"."&amp;RIGHT(K280,3),K280)),verfvoorraad!E:E,verfvoorraad!B:B),"Niet gevonden")))</f>
        <v/>
      </c>
      <c r="M280" t="str">
        <f>IF(K280="","",IFERROR(_xlfn.XLOOKUP(K280,verfvoorraad!C:C,verfvoorraad!D:D),IFERROR(_xlfn.XLOOKUP(IF(LEFT(UPPER(K280),4)="REV-","REV-"&amp;VALUE(MID(K280,5,99)),IF(LEN(K280)=5,LEFT(K280,2)&amp;"."&amp;RIGHT(K280,3),K280)),verfvoorraad!E:E,verfvoorraad!D:D),"Niet gevonden")))</f>
        <v/>
      </c>
      <c r="N280" t="str">
        <f>IF(K280="","",IFERROR(_xlfn.XLOOKUP(K280,verfvoorraad!C:C,verfvoorraad!E:E),IFERROR(_xlfn.XLOOKUP(IF(LEFT(UPPER(K280),4)="REV-","REV-"&amp;VALUE(MID(K280,5,99)),IF(LEN(K280)=5,LEFT(K280,2)&amp;"."&amp;RIGHT(K280,3),K280)),verfvoorraad!E:E,verfvoorraad!E:E),"Niet gevonden")))</f>
        <v/>
      </c>
      <c r="O280" t="str">
        <f>IF(K280="","",IFERROR(_xlfn.XLOOKUP(K280,verfvoorraad!C:C,verfvoorraad!F:F),IFERROR(_xlfn.XLOOKUP(IF(LEFT(UPPER(K280),4)="REV-","REV-"&amp;VALUE(MID(K280,5,99)),IF(LEN(K280)=5,LEFT(K280,2)&amp;"."&amp;RIGHT(K280,3),K280)),verfvoorraad!E:E,verfvoorraad!F:F),"Niet gevonden")))</f>
        <v/>
      </c>
      <c r="P280" t="str">
        <f>IF(K280="","",IFERROR(_xlfn.XLOOKUP(K280,verfvoorraad!C:C,verfvoorraad!G:G),IFERROR(_xlfn.XLOOKUP(IF(LEFT(UPPER(K280),4)="REV-","REV-"&amp;VALUE(MID(K280,5,99)),IF(LEN(K280)=5,LEFT(K280,2)&amp;"."&amp;RIGHT(K280,3),K280)),verfvoorraad!E:E,verfvoorraad!G:G),"Niet gevonden")))</f>
        <v/>
      </c>
      <c r="Q280" t="str">
        <f t="shared" si="8"/>
        <v/>
      </c>
      <c r="R280" t="str">
        <f t="shared" si="9"/>
        <v/>
      </c>
    </row>
    <row r="281" spans="6:18" x14ac:dyDescent="0.25">
      <c r="F281"/>
      <c r="G281" s="20"/>
      <c r="H281" s="21"/>
      <c r="K281" s="23"/>
      <c r="L281" t="str">
        <f>IF(K281="","",IFERROR(_xlfn.XLOOKUP(K281,verfvoorraad!C:C,verfvoorraad!B:B),IFERROR(_xlfn.XLOOKUP(IF(LEFT(UPPER(K281),4)="REV-","REV-"&amp;VALUE(MID(K281,5,99)),IF(LEN(K281)=5,LEFT(K281,2)&amp;"."&amp;RIGHT(K281,3),K281)),verfvoorraad!E:E,verfvoorraad!B:B),"Niet gevonden")))</f>
        <v/>
      </c>
      <c r="M281" t="str">
        <f>IF(K281="","",IFERROR(_xlfn.XLOOKUP(K281,verfvoorraad!C:C,verfvoorraad!D:D),IFERROR(_xlfn.XLOOKUP(IF(LEFT(UPPER(K281),4)="REV-","REV-"&amp;VALUE(MID(K281,5,99)),IF(LEN(K281)=5,LEFT(K281,2)&amp;"."&amp;RIGHT(K281,3),K281)),verfvoorraad!E:E,verfvoorraad!D:D),"Niet gevonden")))</f>
        <v/>
      </c>
      <c r="N281" t="str">
        <f>IF(K281="","",IFERROR(_xlfn.XLOOKUP(K281,verfvoorraad!C:C,verfvoorraad!E:E),IFERROR(_xlfn.XLOOKUP(IF(LEFT(UPPER(K281),4)="REV-","REV-"&amp;VALUE(MID(K281,5,99)),IF(LEN(K281)=5,LEFT(K281,2)&amp;"."&amp;RIGHT(K281,3),K281)),verfvoorraad!E:E,verfvoorraad!E:E),"Niet gevonden")))</f>
        <v/>
      </c>
      <c r="O281" t="str">
        <f>IF(K281="","",IFERROR(_xlfn.XLOOKUP(K281,verfvoorraad!C:C,verfvoorraad!F:F),IFERROR(_xlfn.XLOOKUP(IF(LEFT(UPPER(K281),4)="REV-","REV-"&amp;VALUE(MID(K281,5,99)),IF(LEN(K281)=5,LEFT(K281,2)&amp;"."&amp;RIGHT(K281,3),K281)),verfvoorraad!E:E,verfvoorraad!F:F),"Niet gevonden")))</f>
        <v/>
      </c>
      <c r="P281" t="str">
        <f>IF(K281="","",IFERROR(_xlfn.XLOOKUP(K281,verfvoorraad!C:C,verfvoorraad!G:G),IFERROR(_xlfn.XLOOKUP(IF(LEFT(UPPER(K281),4)="REV-","REV-"&amp;VALUE(MID(K281,5,99)),IF(LEN(K281)=5,LEFT(K281,2)&amp;"."&amp;RIGHT(K281,3),K281)),verfvoorraad!E:E,verfvoorraad!G:G),"Niet gevonden")))</f>
        <v/>
      </c>
      <c r="Q281" t="str">
        <f t="shared" si="8"/>
        <v/>
      </c>
      <c r="R281" t="str">
        <f t="shared" si="9"/>
        <v/>
      </c>
    </row>
    <row r="282" spans="6:18" x14ac:dyDescent="0.25">
      <c r="F282"/>
      <c r="G282" s="20"/>
      <c r="H282" s="21"/>
      <c r="K282" s="23"/>
      <c r="L282" t="str">
        <f>IF(K282="","",IFERROR(_xlfn.XLOOKUP(K282,verfvoorraad!C:C,verfvoorraad!B:B),IFERROR(_xlfn.XLOOKUP(IF(LEFT(UPPER(K282),4)="REV-","REV-"&amp;VALUE(MID(K282,5,99)),IF(LEN(K282)=5,LEFT(K282,2)&amp;"."&amp;RIGHT(K282,3),K282)),verfvoorraad!E:E,verfvoorraad!B:B),"Niet gevonden")))</f>
        <v/>
      </c>
      <c r="M282" t="str">
        <f>IF(K282="","",IFERROR(_xlfn.XLOOKUP(K282,verfvoorraad!C:C,verfvoorraad!D:D),IFERROR(_xlfn.XLOOKUP(IF(LEFT(UPPER(K282),4)="REV-","REV-"&amp;VALUE(MID(K282,5,99)),IF(LEN(K282)=5,LEFT(K282,2)&amp;"."&amp;RIGHT(K282,3),K282)),verfvoorraad!E:E,verfvoorraad!D:D),"Niet gevonden")))</f>
        <v/>
      </c>
      <c r="N282" t="str">
        <f>IF(K282="","",IFERROR(_xlfn.XLOOKUP(K282,verfvoorraad!C:C,verfvoorraad!E:E),IFERROR(_xlfn.XLOOKUP(IF(LEFT(UPPER(K282),4)="REV-","REV-"&amp;VALUE(MID(K282,5,99)),IF(LEN(K282)=5,LEFT(K282,2)&amp;"."&amp;RIGHT(K282,3),K282)),verfvoorraad!E:E,verfvoorraad!E:E),"Niet gevonden")))</f>
        <v/>
      </c>
      <c r="O282" t="str">
        <f>IF(K282="","",IFERROR(_xlfn.XLOOKUP(K282,verfvoorraad!C:C,verfvoorraad!F:F),IFERROR(_xlfn.XLOOKUP(IF(LEFT(UPPER(K282),4)="REV-","REV-"&amp;VALUE(MID(K282,5,99)),IF(LEN(K282)=5,LEFT(K282,2)&amp;"."&amp;RIGHT(K282,3),K282)),verfvoorraad!E:E,verfvoorraad!F:F),"Niet gevonden")))</f>
        <v/>
      </c>
      <c r="P282" t="str">
        <f>IF(K282="","",IFERROR(_xlfn.XLOOKUP(K282,verfvoorraad!C:C,verfvoorraad!G:G),IFERROR(_xlfn.XLOOKUP(IF(LEFT(UPPER(K282),4)="REV-","REV-"&amp;VALUE(MID(K282,5,99)),IF(LEN(K282)=5,LEFT(K282,2)&amp;"."&amp;RIGHT(K282,3),K282)),verfvoorraad!E:E,verfvoorraad!G:G),"Niet gevonden")))</f>
        <v/>
      </c>
      <c r="Q282" t="str">
        <f t="shared" si="8"/>
        <v/>
      </c>
      <c r="R282" t="str">
        <f t="shared" si="9"/>
        <v/>
      </c>
    </row>
    <row r="283" spans="6:18" x14ac:dyDescent="0.25">
      <c r="F283"/>
      <c r="G283" s="20"/>
      <c r="H283" s="21"/>
      <c r="K283" s="23"/>
      <c r="L283" t="str">
        <f>IF(K283="","",IFERROR(_xlfn.XLOOKUP(K283,verfvoorraad!C:C,verfvoorraad!B:B),IFERROR(_xlfn.XLOOKUP(IF(LEFT(UPPER(K283),4)="REV-","REV-"&amp;VALUE(MID(K283,5,99)),IF(LEN(K283)=5,LEFT(K283,2)&amp;"."&amp;RIGHT(K283,3),K283)),verfvoorraad!E:E,verfvoorraad!B:B),"Niet gevonden")))</f>
        <v/>
      </c>
      <c r="M283" t="str">
        <f>IF(K283="","",IFERROR(_xlfn.XLOOKUP(K283,verfvoorraad!C:C,verfvoorraad!D:D),IFERROR(_xlfn.XLOOKUP(IF(LEFT(UPPER(K283),4)="REV-","REV-"&amp;VALUE(MID(K283,5,99)),IF(LEN(K283)=5,LEFT(K283,2)&amp;"."&amp;RIGHT(K283,3),K283)),verfvoorraad!E:E,verfvoorraad!D:D),"Niet gevonden")))</f>
        <v/>
      </c>
      <c r="N283" t="str">
        <f>IF(K283="","",IFERROR(_xlfn.XLOOKUP(K283,verfvoorraad!C:C,verfvoorraad!E:E),IFERROR(_xlfn.XLOOKUP(IF(LEFT(UPPER(K283),4)="REV-","REV-"&amp;VALUE(MID(K283,5,99)),IF(LEN(K283)=5,LEFT(K283,2)&amp;"."&amp;RIGHT(K283,3),K283)),verfvoorraad!E:E,verfvoorraad!E:E),"Niet gevonden")))</f>
        <v/>
      </c>
      <c r="O283" t="str">
        <f>IF(K283="","",IFERROR(_xlfn.XLOOKUP(K283,verfvoorraad!C:C,verfvoorraad!F:F),IFERROR(_xlfn.XLOOKUP(IF(LEFT(UPPER(K283),4)="REV-","REV-"&amp;VALUE(MID(K283,5,99)),IF(LEN(K283)=5,LEFT(K283,2)&amp;"."&amp;RIGHT(K283,3),K283)),verfvoorraad!E:E,verfvoorraad!F:F),"Niet gevonden")))</f>
        <v/>
      </c>
      <c r="P283" t="str">
        <f>IF(K283="","",IFERROR(_xlfn.XLOOKUP(K283,verfvoorraad!C:C,verfvoorraad!G:G),IFERROR(_xlfn.XLOOKUP(IF(LEFT(UPPER(K283),4)="REV-","REV-"&amp;VALUE(MID(K283,5,99)),IF(LEN(K283)=5,LEFT(K283,2)&amp;"."&amp;RIGHT(K283,3),K283)),verfvoorraad!E:E,verfvoorraad!G:G),"Niet gevonden")))</f>
        <v/>
      </c>
      <c r="Q283" t="str">
        <f t="shared" si="8"/>
        <v/>
      </c>
      <c r="R283" t="str">
        <f t="shared" si="9"/>
        <v/>
      </c>
    </row>
    <row r="284" spans="6:18" x14ac:dyDescent="0.25">
      <c r="F284"/>
      <c r="G284" s="20"/>
      <c r="H284" s="21"/>
      <c r="K284" s="23"/>
      <c r="L284" t="str">
        <f>IF(K284="","",IFERROR(_xlfn.XLOOKUP(K284,verfvoorraad!C:C,verfvoorraad!B:B),IFERROR(_xlfn.XLOOKUP(IF(LEFT(UPPER(K284),4)="REV-","REV-"&amp;VALUE(MID(K284,5,99)),IF(LEN(K284)=5,LEFT(K284,2)&amp;"."&amp;RIGHT(K284,3),K284)),verfvoorraad!E:E,verfvoorraad!B:B),"Niet gevonden")))</f>
        <v/>
      </c>
      <c r="M284" t="str">
        <f>IF(K284="","",IFERROR(_xlfn.XLOOKUP(K284,verfvoorraad!C:C,verfvoorraad!D:D),IFERROR(_xlfn.XLOOKUP(IF(LEFT(UPPER(K284),4)="REV-","REV-"&amp;VALUE(MID(K284,5,99)),IF(LEN(K284)=5,LEFT(K284,2)&amp;"."&amp;RIGHT(K284,3),K284)),verfvoorraad!E:E,verfvoorraad!D:D),"Niet gevonden")))</f>
        <v/>
      </c>
      <c r="N284" t="str">
        <f>IF(K284="","",IFERROR(_xlfn.XLOOKUP(K284,verfvoorraad!C:C,verfvoorraad!E:E),IFERROR(_xlfn.XLOOKUP(IF(LEFT(UPPER(K284),4)="REV-","REV-"&amp;VALUE(MID(K284,5,99)),IF(LEN(K284)=5,LEFT(K284,2)&amp;"."&amp;RIGHT(K284,3),K284)),verfvoorraad!E:E,verfvoorraad!E:E),"Niet gevonden")))</f>
        <v/>
      </c>
      <c r="O284" t="str">
        <f>IF(K284="","",IFERROR(_xlfn.XLOOKUP(K284,verfvoorraad!C:C,verfvoorraad!F:F),IFERROR(_xlfn.XLOOKUP(IF(LEFT(UPPER(K284),4)="REV-","REV-"&amp;VALUE(MID(K284,5,99)),IF(LEN(K284)=5,LEFT(K284,2)&amp;"."&amp;RIGHT(K284,3),K284)),verfvoorraad!E:E,verfvoorraad!F:F),"Niet gevonden")))</f>
        <v/>
      </c>
      <c r="P284" t="str">
        <f>IF(K284="","",IFERROR(_xlfn.XLOOKUP(K284,verfvoorraad!C:C,verfvoorraad!G:G),IFERROR(_xlfn.XLOOKUP(IF(LEFT(UPPER(K284),4)="REV-","REV-"&amp;VALUE(MID(K284,5,99)),IF(LEN(K284)=5,LEFT(K284,2)&amp;"."&amp;RIGHT(K284,3),K284)),verfvoorraad!E:E,verfvoorraad!G:G),"Niet gevonden")))</f>
        <v/>
      </c>
      <c r="Q284" t="str">
        <f t="shared" si="8"/>
        <v/>
      </c>
      <c r="R284" t="str">
        <f t="shared" si="9"/>
        <v/>
      </c>
    </row>
    <row r="285" spans="6:18" x14ac:dyDescent="0.25">
      <c r="F285"/>
      <c r="G285" s="20"/>
      <c r="H285" s="21"/>
      <c r="K285" s="23"/>
      <c r="L285" t="str">
        <f>IF(K285="","",IFERROR(_xlfn.XLOOKUP(K285,verfvoorraad!C:C,verfvoorraad!B:B),IFERROR(_xlfn.XLOOKUP(IF(LEFT(UPPER(K285),4)="REV-","REV-"&amp;VALUE(MID(K285,5,99)),IF(LEN(K285)=5,LEFT(K285,2)&amp;"."&amp;RIGHT(K285,3),K285)),verfvoorraad!E:E,verfvoorraad!B:B),"Niet gevonden")))</f>
        <v/>
      </c>
      <c r="M285" t="str">
        <f>IF(K285="","",IFERROR(_xlfn.XLOOKUP(K285,verfvoorraad!C:C,verfvoorraad!D:D),IFERROR(_xlfn.XLOOKUP(IF(LEFT(UPPER(K285),4)="REV-","REV-"&amp;VALUE(MID(K285,5,99)),IF(LEN(K285)=5,LEFT(K285,2)&amp;"."&amp;RIGHT(K285,3),K285)),verfvoorraad!E:E,verfvoorraad!D:D),"Niet gevonden")))</f>
        <v/>
      </c>
      <c r="N285" t="str">
        <f>IF(K285="","",IFERROR(_xlfn.XLOOKUP(K285,verfvoorraad!C:C,verfvoorraad!E:E),IFERROR(_xlfn.XLOOKUP(IF(LEFT(UPPER(K285),4)="REV-","REV-"&amp;VALUE(MID(K285,5,99)),IF(LEN(K285)=5,LEFT(K285,2)&amp;"."&amp;RIGHT(K285,3),K285)),verfvoorraad!E:E,verfvoorraad!E:E),"Niet gevonden")))</f>
        <v/>
      </c>
      <c r="O285" t="str">
        <f>IF(K285="","",IFERROR(_xlfn.XLOOKUP(K285,verfvoorraad!C:C,verfvoorraad!F:F),IFERROR(_xlfn.XLOOKUP(IF(LEFT(UPPER(K285),4)="REV-","REV-"&amp;VALUE(MID(K285,5,99)),IF(LEN(K285)=5,LEFT(K285,2)&amp;"."&amp;RIGHT(K285,3),K285)),verfvoorraad!E:E,verfvoorraad!F:F),"Niet gevonden")))</f>
        <v/>
      </c>
      <c r="P285" t="str">
        <f>IF(K285="","",IFERROR(_xlfn.XLOOKUP(K285,verfvoorraad!C:C,verfvoorraad!G:G),IFERROR(_xlfn.XLOOKUP(IF(LEFT(UPPER(K285),4)="REV-","REV-"&amp;VALUE(MID(K285,5,99)),IF(LEN(K285)=5,LEFT(K285,2)&amp;"."&amp;RIGHT(K285,3),K285)),verfvoorraad!E:E,verfvoorraad!G:G),"Niet gevonden")))</f>
        <v/>
      </c>
      <c r="Q285" t="str">
        <f t="shared" si="8"/>
        <v/>
      </c>
      <c r="R285" t="str">
        <f t="shared" si="9"/>
        <v/>
      </c>
    </row>
    <row r="286" spans="6:18" x14ac:dyDescent="0.25">
      <c r="F286"/>
      <c r="G286" s="20"/>
      <c r="H286" s="21"/>
      <c r="K286" s="23"/>
      <c r="L286" t="str">
        <f>IF(K286="","",IFERROR(_xlfn.XLOOKUP(K286,verfvoorraad!C:C,verfvoorraad!B:B),IFERROR(_xlfn.XLOOKUP(IF(LEFT(UPPER(K286),4)="REV-","REV-"&amp;VALUE(MID(K286,5,99)),IF(LEN(K286)=5,LEFT(K286,2)&amp;"."&amp;RIGHT(K286,3),K286)),verfvoorraad!E:E,verfvoorraad!B:B),"Niet gevonden")))</f>
        <v/>
      </c>
      <c r="M286" t="str">
        <f>IF(K286="","",IFERROR(_xlfn.XLOOKUP(K286,verfvoorraad!C:C,verfvoorraad!D:D),IFERROR(_xlfn.XLOOKUP(IF(LEFT(UPPER(K286),4)="REV-","REV-"&amp;VALUE(MID(K286,5,99)),IF(LEN(K286)=5,LEFT(K286,2)&amp;"."&amp;RIGHT(K286,3),K286)),verfvoorraad!E:E,verfvoorraad!D:D),"Niet gevonden")))</f>
        <v/>
      </c>
      <c r="N286" t="str">
        <f>IF(K286="","",IFERROR(_xlfn.XLOOKUP(K286,verfvoorraad!C:C,verfvoorraad!E:E),IFERROR(_xlfn.XLOOKUP(IF(LEFT(UPPER(K286),4)="REV-","REV-"&amp;VALUE(MID(K286,5,99)),IF(LEN(K286)=5,LEFT(K286,2)&amp;"."&amp;RIGHT(K286,3),K286)),verfvoorraad!E:E,verfvoorraad!E:E),"Niet gevonden")))</f>
        <v/>
      </c>
      <c r="O286" t="str">
        <f>IF(K286="","",IFERROR(_xlfn.XLOOKUP(K286,verfvoorraad!C:C,verfvoorraad!F:F),IFERROR(_xlfn.XLOOKUP(IF(LEFT(UPPER(K286),4)="REV-","REV-"&amp;VALUE(MID(K286,5,99)),IF(LEN(K286)=5,LEFT(K286,2)&amp;"."&amp;RIGHT(K286,3),K286)),verfvoorraad!E:E,verfvoorraad!F:F),"Niet gevonden")))</f>
        <v/>
      </c>
      <c r="P286" t="str">
        <f>IF(K286="","",IFERROR(_xlfn.XLOOKUP(K286,verfvoorraad!C:C,verfvoorraad!G:G),IFERROR(_xlfn.XLOOKUP(IF(LEFT(UPPER(K286),4)="REV-","REV-"&amp;VALUE(MID(K286,5,99)),IF(LEN(K286)=5,LEFT(K286,2)&amp;"."&amp;RIGHT(K286,3),K286)),verfvoorraad!E:E,verfvoorraad!G:G),"Niet gevonden")))</f>
        <v/>
      </c>
      <c r="Q286" t="str">
        <f t="shared" si="8"/>
        <v/>
      </c>
      <c r="R286" t="str">
        <f t="shared" si="9"/>
        <v/>
      </c>
    </row>
    <row r="287" spans="6:18" x14ac:dyDescent="0.25">
      <c r="F287"/>
      <c r="G287" s="20"/>
      <c r="H287" s="21"/>
      <c r="K287" s="23"/>
      <c r="L287" t="str">
        <f>IF(K287="","",IFERROR(_xlfn.XLOOKUP(K287,verfvoorraad!C:C,verfvoorraad!B:B),IFERROR(_xlfn.XLOOKUP(IF(LEFT(UPPER(K287),4)="REV-","REV-"&amp;VALUE(MID(K287,5,99)),IF(LEN(K287)=5,LEFT(K287,2)&amp;"."&amp;RIGHT(K287,3),K287)),verfvoorraad!E:E,verfvoorraad!B:B),"Niet gevonden")))</f>
        <v/>
      </c>
      <c r="M287" t="str">
        <f>IF(K287="","",IFERROR(_xlfn.XLOOKUP(K287,verfvoorraad!C:C,verfvoorraad!D:D),IFERROR(_xlfn.XLOOKUP(IF(LEFT(UPPER(K287),4)="REV-","REV-"&amp;VALUE(MID(K287,5,99)),IF(LEN(K287)=5,LEFT(K287,2)&amp;"."&amp;RIGHT(K287,3),K287)),verfvoorraad!E:E,verfvoorraad!D:D),"Niet gevonden")))</f>
        <v/>
      </c>
      <c r="N287" t="str">
        <f>IF(K287="","",IFERROR(_xlfn.XLOOKUP(K287,verfvoorraad!C:C,verfvoorraad!E:E),IFERROR(_xlfn.XLOOKUP(IF(LEFT(UPPER(K287),4)="REV-","REV-"&amp;VALUE(MID(K287,5,99)),IF(LEN(K287)=5,LEFT(K287,2)&amp;"."&amp;RIGHT(K287,3),K287)),verfvoorraad!E:E,verfvoorraad!E:E),"Niet gevonden")))</f>
        <v/>
      </c>
      <c r="O287" t="str">
        <f>IF(K287="","",IFERROR(_xlfn.XLOOKUP(K287,verfvoorraad!C:C,verfvoorraad!F:F),IFERROR(_xlfn.XLOOKUP(IF(LEFT(UPPER(K287),4)="REV-","REV-"&amp;VALUE(MID(K287,5,99)),IF(LEN(K287)=5,LEFT(K287,2)&amp;"."&amp;RIGHT(K287,3),K287)),verfvoorraad!E:E,verfvoorraad!F:F),"Niet gevonden")))</f>
        <v/>
      </c>
      <c r="P287" t="str">
        <f>IF(K287="","",IFERROR(_xlfn.XLOOKUP(K287,verfvoorraad!C:C,verfvoorraad!G:G),IFERROR(_xlfn.XLOOKUP(IF(LEFT(UPPER(K287),4)="REV-","REV-"&amp;VALUE(MID(K287,5,99)),IF(LEN(K287)=5,LEFT(K287,2)&amp;"."&amp;RIGHT(K287,3),K287)),verfvoorraad!E:E,verfvoorraad!G:G),"Niet gevonden")))</f>
        <v/>
      </c>
      <c r="Q287" t="str">
        <f t="shared" si="8"/>
        <v/>
      </c>
      <c r="R287" t="str">
        <f t="shared" si="9"/>
        <v/>
      </c>
    </row>
    <row r="288" spans="6:18" x14ac:dyDescent="0.25">
      <c r="F288"/>
      <c r="G288" s="20"/>
      <c r="H288" s="21"/>
      <c r="K288" s="23"/>
      <c r="L288" t="str">
        <f>IF(K288="","",IFERROR(_xlfn.XLOOKUP(K288,verfvoorraad!C:C,verfvoorraad!B:B),IFERROR(_xlfn.XLOOKUP(IF(LEFT(UPPER(K288),4)="REV-","REV-"&amp;VALUE(MID(K288,5,99)),IF(LEN(K288)=5,LEFT(K288,2)&amp;"."&amp;RIGHT(K288,3),K288)),verfvoorraad!E:E,verfvoorraad!B:B),"Niet gevonden")))</f>
        <v/>
      </c>
      <c r="M288" t="str">
        <f>IF(K288="","",IFERROR(_xlfn.XLOOKUP(K288,verfvoorraad!C:C,verfvoorraad!D:D),IFERROR(_xlfn.XLOOKUP(IF(LEFT(UPPER(K288),4)="REV-","REV-"&amp;VALUE(MID(K288,5,99)),IF(LEN(K288)=5,LEFT(K288,2)&amp;"."&amp;RIGHT(K288,3),K288)),verfvoorraad!E:E,verfvoorraad!D:D),"Niet gevonden")))</f>
        <v/>
      </c>
      <c r="N288" t="str">
        <f>IF(K288="","",IFERROR(_xlfn.XLOOKUP(K288,verfvoorraad!C:C,verfvoorraad!E:E),IFERROR(_xlfn.XLOOKUP(IF(LEFT(UPPER(K288),4)="REV-","REV-"&amp;VALUE(MID(K288,5,99)),IF(LEN(K288)=5,LEFT(K288,2)&amp;"."&amp;RIGHT(K288,3),K288)),verfvoorraad!E:E,verfvoorraad!E:E),"Niet gevonden")))</f>
        <v/>
      </c>
      <c r="O288" t="str">
        <f>IF(K288="","",IFERROR(_xlfn.XLOOKUP(K288,verfvoorraad!C:C,verfvoorraad!F:F),IFERROR(_xlfn.XLOOKUP(IF(LEFT(UPPER(K288),4)="REV-","REV-"&amp;VALUE(MID(K288,5,99)),IF(LEN(K288)=5,LEFT(K288,2)&amp;"."&amp;RIGHT(K288,3),K288)),verfvoorraad!E:E,verfvoorraad!F:F),"Niet gevonden")))</f>
        <v/>
      </c>
      <c r="P288" t="str">
        <f>IF(K288="","",IFERROR(_xlfn.XLOOKUP(K288,verfvoorraad!C:C,verfvoorraad!G:G),IFERROR(_xlfn.XLOOKUP(IF(LEFT(UPPER(K288),4)="REV-","REV-"&amp;VALUE(MID(K288,5,99)),IF(LEN(K288)=5,LEFT(K288,2)&amp;"."&amp;RIGHT(K288,3),K288)),verfvoorraad!E:E,verfvoorraad!G:G),"Niet gevonden")))</f>
        <v/>
      </c>
      <c r="Q288" t="str">
        <f t="shared" si="8"/>
        <v/>
      </c>
      <c r="R288" t="str">
        <f t="shared" si="9"/>
        <v/>
      </c>
    </row>
    <row r="289" spans="6:18" x14ac:dyDescent="0.25">
      <c r="F289"/>
      <c r="G289" s="20"/>
      <c r="H289" s="21"/>
      <c r="K289" s="23"/>
      <c r="L289" t="str">
        <f>IF(K289="","",IFERROR(_xlfn.XLOOKUP(K289,verfvoorraad!C:C,verfvoorraad!B:B),IFERROR(_xlfn.XLOOKUP(IF(LEFT(UPPER(K289),4)="REV-","REV-"&amp;VALUE(MID(K289,5,99)),IF(LEN(K289)=5,LEFT(K289,2)&amp;"."&amp;RIGHT(K289,3),K289)),verfvoorraad!E:E,verfvoorraad!B:B),"Niet gevonden")))</f>
        <v/>
      </c>
      <c r="M289" t="str">
        <f>IF(K289="","",IFERROR(_xlfn.XLOOKUP(K289,verfvoorraad!C:C,verfvoorraad!D:D),IFERROR(_xlfn.XLOOKUP(IF(LEFT(UPPER(K289),4)="REV-","REV-"&amp;VALUE(MID(K289,5,99)),IF(LEN(K289)=5,LEFT(K289,2)&amp;"."&amp;RIGHT(K289,3),K289)),verfvoorraad!E:E,verfvoorraad!D:D),"Niet gevonden")))</f>
        <v/>
      </c>
      <c r="N289" t="str">
        <f>IF(K289="","",IFERROR(_xlfn.XLOOKUP(K289,verfvoorraad!C:C,verfvoorraad!E:E),IFERROR(_xlfn.XLOOKUP(IF(LEFT(UPPER(K289),4)="REV-","REV-"&amp;VALUE(MID(K289,5,99)),IF(LEN(K289)=5,LEFT(K289,2)&amp;"."&amp;RIGHT(K289,3),K289)),verfvoorraad!E:E,verfvoorraad!E:E),"Niet gevonden")))</f>
        <v/>
      </c>
      <c r="O289" t="str">
        <f>IF(K289="","",IFERROR(_xlfn.XLOOKUP(K289,verfvoorraad!C:C,verfvoorraad!F:F),IFERROR(_xlfn.XLOOKUP(IF(LEFT(UPPER(K289),4)="REV-","REV-"&amp;VALUE(MID(K289,5,99)),IF(LEN(K289)=5,LEFT(K289,2)&amp;"."&amp;RIGHT(K289,3),K289)),verfvoorraad!E:E,verfvoorraad!F:F),"Niet gevonden")))</f>
        <v/>
      </c>
      <c r="P289" t="str">
        <f>IF(K289="","",IFERROR(_xlfn.XLOOKUP(K289,verfvoorraad!C:C,verfvoorraad!G:G),IFERROR(_xlfn.XLOOKUP(IF(LEFT(UPPER(K289),4)="REV-","REV-"&amp;VALUE(MID(K289,5,99)),IF(LEN(K289)=5,LEFT(K289,2)&amp;"."&amp;RIGHT(K289,3),K289)),verfvoorraad!E:E,verfvoorraad!G:G),"Niet gevonden")))</f>
        <v/>
      </c>
      <c r="Q289" t="str">
        <f t="shared" si="8"/>
        <v/>
      </c>
      <c r="R289" t="str">
        <f t="shared" si="9"/>
        <v/>
      </c>
    </row>
    <row r="290" spans="6:18" x14ac:dyDescent="0.25">
      <c r="F290"/>
      <c r="G290" s="20"/>
      <c r="H290" s="21"/>
      <c r="K290" s="23"/>
      <c r="L290" t="str">
        <f>IF(K290="","",IFERROR(_xlfn.XLOOKUP(K290,verfvoorraad!C:C,verfvoorraad!B:B),IFERROR(_xlfn.XLOOKUP(IF(LEFT(UPPER(K290),4)="REV-","REV-"&amp;VALUE(MID(K290,5,99)),IF(LEN(K290)=5,LEFT(K290,2)&amp;"."&amp;RIGHT(K290,3),K290)),verfvoorraad!E:E,verfvoorraad!B:B),"Niet gevonden")))</f>
        <v/>
      </c>
      <c r="M290" t="str">
        <f>IF(K290="","",IFERROR(_xlfn.XLOOKUP(K290,verfvoorraad!C:C,verfvoorraad!D:D),IFERROR(_xlfn.XLOOKUP(IF(LEFT(UPPER(K290),4)="REV-","REV-"&amp;VALUE(MID(K290,5,99)),IF(LEN(K290)=5,LEFT(K290,2)&amp;"."&amp;RIGHT(K290,3),K290)),verfvoorraad!E:E,verfvoorraad!D:D),"Niet gevonden")))</f>
        <v/>
      </c>
      <c r="N290" t="str">
        <f>IF(K290="","",IFERROR(_xlfn.XLOOKUP(K290,verfvoorraad!C:C,verfvoorraad!E:E),IFERROR(_xlfn.XLOOKUP(IF(LEFT(UPPER(K290),4)="REV-","REV-"&amp;VALUE(MID(K290,5,99)),IF(LEN(K290)=5,LEFT(K290,2)&amp;"."&amp;RIGHT(K290,3),K290)),verfvoorraad!E:E,verfvoorraad!E:E),"Niet gevonden")))</f>
        <v/>
      </c>
      <c r="O290" t="str">
        <f>IF(K290="","",IFERROR(_xlfn.XLOOKUP(K290,verfvoorraad!C:C,verfvoorraad!F:F),IFERROR(_xlfn.XLOOKUP(IF(LEFT(UPPER(K290),4)="REV-","REV-"&amp;VALUE(MID(K290,5,99)),IF(LEN(K290)=5,LEFT(K290,2)&amp;"."&amp;RIGHT(K290,3),K290)),verfvoorraad!E:E,verfvoorraad!F:F),"Niet gevonden")))</f>
        <v/>
      </c>
      <c r="P290" t="str">
        <f>IF(K290="","",IFERROR(_xlfn.XLOOKUP(K290,verfvoorraad!C:C,verfvoorraad!G:G),IFERROR(_xlfn.XLOOKUP(IF(LEFT(UPPER(K290),4)="REV-","REV-"&amp;VALUE(MID(K290,5,99)),IF(LEN(K290)=5,LEFT(K290,2)&amp;"."&amp;RIGHT(K290,3),K290)),verfvoorraad!E:E,verfvoorraad!G:G),"Niet gevonden")))</f>
        <v/>
      </c>
      <c r="Q290" t="str">
        <f t="shared" si="8"/>
        <v/>
      </c>
      <c r="R290" t="str">
        <f t="shared" si="9"/>
        <v/>
      </c>
    </row>
    <row r="291" spans="6:18" x14ac:dyDescent="0.25">
      <c r="F291"/>
      <c r="G291" s="20"/>
      <c r="H291" s="21"/>
      <c r="K291" s="23"/>
      <c r="L291" t="str">
        <f>IF(K291="","",IFERROR(_xlfn.XLOOKUP(K291,verfvoorraad!C:C,verfvoorraad!B:B),IFERROR(_xlfn.XLOOKUP(IF(LEFT(UPPER(K291),4)="REV-","REV-"&amp;VALUE(MID(K291,5,99)),IF(LEN(K291)=5,LEFT(K291,2)&amp;"."&amp;RIGHT(K291,3),K291)),verfvoorraad!E:E,verfvoorraad!B:B),"Niet gevonden")))</f>
        <v/>
      </c>
      <c r="M291" t="str">
        <f>IF(K291="","",IFERROR(_xlfn.XLOOKUP(K291,verfvoorraad!C:C,verfvoorraad!D:D),IFERROR(_xlfn.XLOOKUP(IF(LEFT(UPPER(K291),4)="REV-","REV-"&amp;VALUE(MID(K291,5,99)),IF(LEN(K291)=5,LEFT(K291,2)&amp;"."&amp;RIGHT(K291,3),K291)),verfvoorraad!E:E,verfvoorraad!D:D),"Niet gevonden")))</f>
        <v/>
      </c>
      <c r="N291" t="str">
        <f>IF(K291="","",IFERROR(_xlfn.XLOOKUP(K291,verfvoorraad!C:C,verfvoorraad!E:E),IFERROR(_xlfn.XLOOKUP(IF(LEFT(UPPER(K291),4)="REV-","REV-"&amp;VALUE(MID(K291,5,99)),IF(LEN(K291)=5,LEFT(K291,2)&amp;"."&amp;RIGHT(K291,3),K291)),verfvoorraad!E:E,verfvoorraad!E:E),"Niet gevonden")))</f>
        <v/>
      </c>
      <c r="O291" t="str">
        <f>IF(K291="","",IFERROR(_xlfn.XLOOKUP(K291,verfvoorraad!C:C,verfvoorraad!F:F),IFERROR(_xlfn.XLOOKUP(IF(LEFT(UPPER(K291),4)="REV-","REV-"&amp;VALUE(MID(K291,5,99)),IF(LEN(K291)=5,LEFT(K291,2)&amp;"."&amp;RIGHT(K291,3),K291)),verfvoorraad!E:E,verfvoorraad!F:F),"Niet gevonden")))</f>
        <v/>
      </c>
      <c r="P291" t="str">
        <f>IF(K291="","",IFERROR(_xlfn.XLOOKUP(K291,verfvoorraad!C:C,verfvoorraad!G:G),IFERROR(_xlfn.XLOOKUP(IF(LEFT(UPPER(K291),4)="REV-","REV-"&amp;VALUE(MID(K291,5,99)),IF(LEN(K291)=5,LEFT(K291,2)&amp;"."&amp;RIGHT(K291,3),K291)),verfvoorraad!E:E,verfvoorraad!G:G),"Niet gevonden")))</f>
        <v/>
      </c>
      <c r="Q291" t="str">
        <f t="shared" si="8"/>
        <v/>
      </c>
      <c r="R291" t="str">
        <f t="shared" si="9"/>
        <v/>
      </c>
    </row>
    <row r="292" spans="6:18" x14ac:dyDescent="0.25">
      <c r="F292"/>
      <c r="G292" s="20"/>
      <c r="H292" s="21"/>
      <c r="K292" s="23"/>
      <c r="L292" t="str">
        <f>IF(K292="","",IFERROR(_xlfn.XLOOKUP(K292,verfvoorraad!C:C,verfvoorraad!B:B),IFERROR(_xlfn.XLOOKUP(IF(LEFT(UPPER(K292),4)="REV-","REV-"&amp;VALUE(MID(K292,5,99)),IF(LEN(K292)=5,LEFT(K292,2)&amp;"."&amp;RIGHT(K292,3),K292)),verfvoorraad!E:E,verfvoorraad!B:B),"Niet gevonden")))</f>
        <v/>
      </c>
      <c r="M292" t="str">
        <f>IF(K292="","",IFERROR(_xlfn.XLOOKUP(K292,verfvoorraad!C:C,verfvoorraad!D:D),IFERROR(_xlfn.XLOOKUP(IF(LEFT(UPPER(K292),4)="REV-","REV-"&amp;VALUE(MID(K292,5,99)),IF(LEN(K292)=5,LEFT(K292,2)&amp;"."&amp;RIGHT(K292,3),K292)),verfvoorraad!E:E,verfvoorraad!D:D),"Niet gevonden")))</f>
        <v/>
      </c>
      <c r="N292" t="str">
        <f>IF(K292="","",IFERROR(_xlfn.XLOOKUP(K292,verfvoorraad!C:C,verfvoorraad!E:E),IFERROR(_xlfn.XLOOKUP(IF(LEFT(UPPER(K292),4)="REV-","REV-"&amp;VALUE(MID(K292,5,99)),IF(LEN(K292)=5,LEFT(K292,2)&amp;"."&amp;RIGHT(K292,3),K292)),verfvoorraad!E:E,verfvoorraad!E:E),"Niet gevonden")))</f>
        <v/>
      </c>
      <c r="O292" t="str">
        <f>IF(K292="","",IFERROR(_xlfn.XLOOKUP(K292,verfvoorraad!C:C,verfvoorraad!F:F),IFERROR(_xlfn.XLOOKUP(IF(LEFT(UPPER(K292),4)="REV-","REV-"&amp;VALUE(MID(K292,5,99)),IF(LEN(K292)=5,LEFT(K292,2)&amp;"."&amp;RIGHT(K292,3),K292)),verfvoorraad!E:E,verfvoorraad!F:F),"Niet gevonden")))</f>
        <v/>
      </c>
      <c r="P292" t="str">
        <f>IF(K292="","",IFERROR(_xlfn.XLOOKUP(K292,verfvoorraad!C:C,verfvoorraad!G:G),IFERROR(_xlfn.XLOOKUP(IF(LEFT(UPPER(K292),4)="REV-","REV-"&amp;VALUE(MID(K292,5,99)),IF(LEN(K292)=5,LEFT(K292,2)&amp;"."&amp;RIGHT(K292,3),K292)),verfvoorraad!E:E,verfvoorraad!G:G),"Niet gevonden")))</f>
        <v/>
      </c>
      <c r="Q292" t="str">
        <f t="shared" si="8"/>
        <v/>
      </c>
      <c r="R292" t="str">
        <f t="shared" si="9"/>
        <v/>
      </c>
    </row>
    <row r="293" spans="6:18" x14ac:dyDescent="0.25">
      <c r="F293"/>
      <c r="G293" s="20"/>
      <c r="H293" s="21"/>
      <c r="K293" s="23"/>
      <c r="L293" t="str">
        <f>IF(K293="","",IFERROR(_xlfn.XLOOKUP(K293,verfvoorraad!C:C,verfvoorraad!B:B),IFERROR(_xlfn.XLOOKUP(IF(LEFT(UPPER(K293),4)="REV-","REV-"&amp;VALUE(MID(K293,5,99)),IF(LEN(K293)=5,LEFT(K293,2)&amp;"."&amp;RIGHT(K293,3),K293)),verfvoorraad!E:E,verfvoorraad!B:B),"Niet gevonden")))</f>
        <v/>
      </c>
      <c r="M293" t="str">
        <f>IF(K293="","",IFERROR(_xlfn.XLOOKUP(K293,verfvoorraad!C:C,verfvoorraad!D:D),IFERROR(_xlfn.XLOOKUP(IF(LEFT(UPPER(K293),4)="REV-","REV-"&amp;VALUE(MID(K293,5,99)),IF(LEN(K293)=5,LEFT(K293,2)&amp;"."&amp;RIGHT(K293,3),K293)),verfvoorraad!E:E,verfvoorraad!D:D),"Niet gevonden")))</f>
        <v/>
      </c>
      <c r="N293" t="str">
        <f>IF(K293="","",IFERROR(_xlfn.XLOOKUP(K293,verfvoorraad!C:C,verfvoorraad!E:E),IFERROR(_xlfn.XLOOKUP(IF(LEFT(UPPER(K293),4)="REV-","REV-"&amp;VALUE(MID(K293,5,99)),IF(LEN(K293)=5,LEFT(K293,2)&amp;"."&amp;RIGHT(K293,3),K293)),verfvoorraad!E:E,verfvoorraad!E:E),"Niet gevonden")))</f>
        <v/>
      </c>
      <c r="O293" t="str">
        <f>IF(K293="","",IFERROR(_xlfn.XLOOKUP(K293,verfvoorraad!C:C,verfvoorraad!F:F),IFERROR(_xlfn.XLOOKUP(IF(LEFT(UPPER(K293),4)="REV-","REV-"&amp;VALUE(MID(K293,5,99)),IF(LEN(K293)=5,LEFT(K293,2)&amp;"."&amp;RIGHT(K293,3),K293)),verfvoorraad!E:E,verfvoorraad!F:F),"Niet gevonden")))</f>
        <v/>
      </c>
      <c r="P293" t="str">
        <f>IF(K293="","",IFERROR(_xlfn.XLOOKUP(K293,verfvoorraad!C:C,verfvoorraad!G:G),IFERROR(_xlfn.XLOOKUP(IF(LEFT(UPPER(K293),4)="REV-","REV-"&amp;VALUE(MID(K293,5,99)),IF(LEN(K293)=5,LEFT(K293,2)&amp;"."&amp;RIGHT(K293,3),K293)),verfvoorraad!E:E,verfvoorraad!G:G),"Niet gevonden")))</f>
        <v/>
      </c>
      <c r="Q293" t="str">
        <f t="shared" si="8"/>
        <v/>
      </c>
      <c r="R293" t="str">
        <f t="shared" si="9"/>
        <v/>
      </c>
    </row>
    <row r="294" spans="6:18" x14ac:dyDescent="0.25">
      <c r="F294"/>
      <c r="G294" s="20"/>
      <c r="H294" s="21"/>
      <c r="K294" s="23"/>
      <c r="L294" t="str">
        <f>IF(K294="","",IFERROR(_xlfn.XLOOKUP(K294,verfvoorraad!C:C,verfvoorraad!B:B),IFERROR(_xlfn.XLOOKUP(IF(LEFT(UPPER(K294),4)="REV-","REV-"&amp;VALUE(MID(K294,5,99)),IF(LEN(K294)=5,LEFT(K294,2)&amp;"."&amp;RIGHT(K294,3),K294)),verfvoorraad!E:E,verfvoorraad!B:B),"Niet gevonden")))</f>
        <v/>
      </c>
      <c r="M294" t="str">
        <f>IF(K294="","",IFERROR(_xlfn.XLOOKUP(K294,verfvoorraad!C:C,verfvoorraad!D:D),IFERROR(_xlfn.XLOOKUP(IF(LEFT(UPPER(K294),4)="REV-","REV-"&amp;VALUE(MID(K294,5,99)),IF(LEN(K294)=5,LEFT(K294,2)&amp;"."&amp;RIGHT(K294,3),K294)),verfvoorraad!E:E,verfvoorraad!D:D),"Niet gevonden")))</f>
        <v/>
      </c>
      <c r="N294" t="str">
        <f>IF(K294="","",IFERROR(_xlfn.XLOOKUP(K294,verfvoorraad!C:C,verfvoorraad!E:E),IFERROR(_xlfn.XLOOKUP(IF(LEFT(UPPER(K294),4)="REV-","REV-"&amp;VALUE(MID(K294,5,99)),IF(LEN(K294)=5,LEFT(K294,2)&amp;"."&amp;RIGHT(K294,3),K294)),verfvoorraad!E:E,verfvoorraad!E:E),"Niet gevonden")))</f>
        <v/>
      </c>
      <c r="O294" t="str">
        <f>IF(K294="","",IFERROR(_xlfn.XLOOKUP(K294,verfvoorraad!C:C,verfvoorraad!F:F),IFERROR(_xlfn.XLOOKUP(IF(LEFT(UPPER(K294),4)="REV-","REV-"&amp;VALUE(MID(K294,5,99)),IF(LEN(K294)=5,LEFT(K294,2)&amp;"."&amp;RIGHT(K294,3),K294)),verfvoorraad!E:E,verfvoorraad!F:F),"Niet gevonden")))</f>
        <v/>
      </c>
      <c r="P294" t="str">
        <f>IF(K294="","",IFERROR(_xlfn.XLOOKUP(K294,verfvoorraad!C:C,verfvoorraad!G:G),IFERROR(_xlfn.XLOOKUP(IF(LEFT(UPPER(K294),4)="REV-","REV-"&amp;VALUE(MID(K294,5,99)),IF(LEN(K294)=5,LEFT(K294,2)&amp;"."&amp;RIGHT(K294,3),K294)),verfvoorraad!E:E,verfvoorraad!G:G),"Niet gevonden")))</f>
        <v/>
      </c>
      <c r="Q294" t="str">
        <f t="shared" si="8"/>
        <v/>
      </c>
      <c r="R294" t="str">
        <f t="shared" si="9"/>
        <v/>
      </c>
    </row>
    <row r="295" spans="6:18" x14ac:dyDescent="0.25">
      <c r="F295"/>
      <c r="G295" s="20"/>
      <c r="H295" s="21"/>
      <c r="K295" s="23"/>
      <c r="L295" t="str">
        <f>IF(K295="","",IFERROR(_xlfn.XLOOKUP(K295,verfvoorraad!C:C,verfvoorraad!B:B),IFERROR(_xlfn.XLOOKUP(IF(LEFT(UPPER(K295),4)="REV-","REV-"&amp;VALUE(MID(K295,5,99)),IF(LEN(K295)=5,LEFT(K295,2)&amp;"."&amp;RIGHT(K295,3),K295)),verfvoorraad!E:E,verfvoorraad!B:B),"Niet gevonden")))</f>
        <v/>
      </c>
      <c r="M295" t="str">
        <f>IF(K295="","",IFERROR(_xlfn.XLOOKUP(K295,verfvoorraad!C:C,verfvoorraad!D:D),IFERROR(_xlfn.XLOOKUP(IF(LEFT(UPPER(K295),4)="REV-","REV-"&amp;VALUE(MID(K295,5,99)),IF(LEN(K295)=5,LEFT(K295,2)&amp;"."&amp;RIGHT(K295,3),K295)),verfvoorraad!E:E,verfvoorraad!D:D),"Niet gevonden")))</f>
        <v/>
      </c>
      <c r="N295" t="str">
        <f>IF(K295="","",IFERROR(_xlfn.XLOOKUP(K295,verfvoorraad!C:C,verfvoorraad!E:E),IFERROR(_xlfn.XLOOKUP(IF(LEFT(UPPER(K295),4)="REV-","REV-"&amp;VALUE(MID(K295,5,99)),IF(LEN(K295)=5,LEFT(K295,2)&amp;"."&amp;RIGHT(K295,3),K295)),verfvoorraad!E:E,verfvoorraad!E:E),"Niet gevonden")))</f>
        <v/>
      </c>
      <c r="O295" t="str">
        <f>IF(K295="","",IFERROR(_xlfn.XLOOKUP(K295,verfvoorraad!C:C,verfvoorraad!F:F),IFERROR(_xlfn.XLOOKUP(IF(LEFT(UPPER(K295),4)="REV-","REV-"&amp;VALUE(MID(K295,5,99)),IF(LEN(K295)=5,LEFT(K295,2)&amp;"."&amp;RIGHT(K295,3),K295)),verfvoorraad!E:E,verfvoorraad!F:F),"Niet gevonden")))</f>
        <v/>
      </c>
      <c r="P295" t="str">
        <f>IF(K295="","",IFERROR(_xlfn.XLOOKUP(K295,verfvoorraad!C:C,verfvoorraad!G:G),IFERROR(_xlfn.XLOOKUP(IF(LEFT(UPPER(K295),4)="REV-","REV-"&amp;VALUE(MID(K295,5,99)),IF(LEN(K295)=5,LEFT(K295,2)&amp;"."&amp;RIGHT(K295,3),K295)),verfvoorraad!E:E,verfvoorraad!G:G),"Niet gevonden")))</f>
        <v/>
      </c>
      <c r="Q295" t="str">
        <f t="shared" si="8"/>
        <v/>
      </c>
      <c r="R295" t="str">
        <f t="shared" si="9"/>
        <v/>
      </c>
    </row>
    <row r="296" spans="6:18" x14ac:dyDescent="0.25">
      <c r="F296"/>
      <c r="G296" s="20"/>
      <c r="H296" s="21"/>
      <c r="K296" s="23"/>
      <c r="L296" t="str">
        <f>IF(K296="","",IFERROR(_xlfn.XLOOKUP(K296,verfvoorraad!C:C,verfvoorraad!B:B),IFERROR(_xlfn.XLOOKUP(IF(LEFT(UPPER(K296),4)="REV-","REV-"&amp;VALUE(MID(K296,5,99)),IF(LEN(K296)=5,LEFT(K296,2)&amp;"."&amp;RIGHT(K296,3),K296)),verfvoorraad!E:E,verfvoorraad!B:B),"Niet gevonden")))</f>
        <v/>
      </c>
      <c r="M296" t="str">
        <f>IF(K296="","",IFERROR(_xlfn.XLOOKUP(K296,verfvoorraad!C:C,verfvoorraad!D:D),IFERROR(_xlfn.XLOOKUP(IF(LEFT(UPPER(K296),4)="REV-","REV-"&amp;VALUE(MID(K296,5,99)),IF(LEN(K296)=5,LEFT(K296,2)&amp;"."&amp;RIGHT(K296,3),K296)),verfvoorraad!E:E,verfvoorraad!D:D),"Niet gevonden")))</f>
        <v/>
      </c>
      <c r="N296" t="str">
        <f>IF(K296="","",IFERROR(_xlfn.XLOOKUP(K296,verfvoorraad!C:C,verfvoorraad!E:E),IFERROR(_xlfn.XLOOKUP(IF(LEFT(UPPER(K296),4)="REV-","REV-"&amp;VALUE(MID(K296,5,99)),IF(LEN(K296)=5,LEFT(K296,2)&amp;"."&amp;RIGHT(K296,3),K296)),verfvoorraad!E:E,verfvoorraad!E:E),"Niet gevonden")))</f>
        <v/>
      </c>
      <c r="O296" t="str">
        <f>IF(K296="","",IFERROR(_xlfn.XLOOKUP(K296,verfvoorraad!C:C,verfvoorraad!F:F),IFERROR(_xlfn.XLOOKUP(IF(LEFT(UPPER(K296),4)="REV-","REV-"&amp;VALUE(MID(K296,5,99)),IF(LEN(K296)=5,LEFT(K296,2)&amp;"."&amp;RIGHT(K296,3),K296)),verfvoorraad!E:E,verfvoorraad!F:F),"Niet gevonden")))</f>
        <v/>
      </c>
      <c r="P296" t="str">
        <f>IF(K296="","",IFERROR(_xlfn.XLOOKUP(K296,verfvoorraad!C:C,verfvoorraad!G:G),IFERROR(_xlfn.XLOOKUP(IF(LEFT(UPPER(K296),4)="REV-","REV-"&amp;VALUE(MID(K296,5,99)),IF(LEN(K296)=5,LEFT(K296,2)&amp;"."&amp;RIGHT(K296,3),K296)),verfvoorraad!E:E,verfvoorraad!G:G),"Niet gevonden")))</f>
        <v/>
      </c>
      <c r="Q296" t="str">
        <f t="shared" si="8"/>
        <v/>
      </c>
      <c r="R296" t="str">
        <f t="shared" si="9"/>
        <v/>
      </c>
    </row>
    <row r="297" spans="6:18" x14ac:dyDescent="0.25">
      <c r="F297"/>
      <c r="G297" s="20"/>
      <c r="H297" s="21"/>
      <c r="K297" s="23"/>
      <c r="L297" t="str">
        <f>IF(K297="","",IFERROR(_xlfn.XLOOKUP(K297,verfvoorraad!C:C,verfvoorraad!B:B),IFERROR(_xlfn.XLOOKUP(IF(LEFT(UPPER(K297),4)="REV-","REV-"&amp;VALUE(MID(K297,5,99)),IF(LEN(K297)=5,LEFT(K297,2)&amp;"."&amp;RIGHT(K297,3),K297)),verfvoorraad!E:E,verfvoorraad!B:B),"Niet gevonden")))</f>
        <v/>
      </c>
      <c r="M297" t="str">
        <f>IF(K297="","",IFERROR(_xlfn.XLOOKUP(K297,verfvoorraad!C:C,verfvoorraad!D:D),IFERROR(_xlfn.XLOOKUP(IF(LEFT(UPPER(K297),4)="REV-","REV-"&amp;VALUE(MID(K297,5,99)),IF(LEN(K297)=5,LEFT(K297,2)&amp;"."&amp;RIGHT(K297,3),K297)),verfvoorraad!E:E,verfvoorraad!D:D),"Niet gevonden")))</f>
        <v/>
      </c>
      <c r="N297" t="str">
        <f>IF(K297="","",IFERROR(_xlfn.XLOOKUP(K297,verfvoorraad!C:C,verfvoorraad!E:E),IFERROR(_xlfn.XLOOKUP(IF(LEFT(UPPER(K297),4)="REV-","REV-"&amp;VALUE(MID(K297,5,99)),IF(LEN(K297)=5,LEFT(K297,2)&amp;"."&amp;RIGHT(K297,3),K297)),verfvoorraad!E:E,verfvoorraad!E:E),"Niet gevonden")))</f>
        <v/>
      </c>
      <c r="O297" t="str">
        <f>IF(K297="","",IFERROR(_xlfn.XLOOKUP(K297,verfvoorraad!C:C,verfvoorraad!F:F),IFERROR(_xlfn.XLOOKUP(IF(LEFT(UPPER(K297),4)="REV-","REV-"&amp;VALUE(MID(K297,5,99)),IF(LEN(K297)=5,LEFT(K297,2)&amp;"."&amp;RIGHT(K297,3),K297)),verfvoorraad!E:E,verfvoorraad!F:F),"Niet gevonden")))</f>
        <v/>
      </c>
      <c r="P297" t="str">
        <f>IF(K297="","",IFERROR(_xlfn.XLOOKUP(K297,verfvoorraad!C:C,verfvoorraad!G:G),IFERROR(_xlfn.XLOOKUP(IF(LEFT(UPPER(K297),4)="REV-","REV-"&amp;VALUE(MID(K297,5,99)),IF(LEN(K297)=5,LEFT(K297,2)&amp;"."&amp;RIGHT(K297,3),K297)),verfvoorraad!E:E,verfvoorraad!G:G),"Niet gevonden")))</f>
        <v/>
      </c>
      <c r="Q297" t="str">
        <f t="shared" si="8"/>
        <v/>
      </c>
      <c r="R297" t="str">
        <f t="shared" si="9"/>
        <v/>
      </c>
    </row>
    <row r="298" spans="6:18" x14ac:dyDescent="0.25">
      <c r="F298"/>
      <c r="G298" s="20"/>
      <c r="H298" s="21"/>
      <c r="K298" s="23"/>
      <c r="L298" t="str">
        <f>IF(K298="","",IFERROR(_xlfn.XLOOKUP(K298,verfvoorraad!C:C,verfvoorraad!B:B),IFERROR(_xlfn.XLOOKUP(IF(LEFT(UPPER(K298),4)="REV-","REV-"&amp;VALUE(MID(K298,5,99)),IF(LEN(K298)=5,LEFT(K298,2)&amp;"."&amp;RIGHT(K298,3),K298)),verfvoorraad!E:E,verfvoorraad!B:B),"Niet gevonden")))</f>
        <v/>
      </c>
      <c r="M298" t="str">
        <f>IF(K298="","",IFERROR(_xlfn.XLOOKUP(K298,verfvoorraad!C:C,verfvoorraad!D:D),IFERROR(_xlfn.XLOOKUP(IF(LEFT(UPPER(K298),4)="REV-","REV-"&amp;VALUE(MID(K298,5,99)),IF(LEN(K298)=5,LEFT(K298,2)&amp;"."&amp;RIGHT(K298,3),K298)),verfvoorraad!E:E,verfvoorraad!D:D),"Niet gevonden")))</f>
        <v/>
      </c>
      <c r="N298" t="str">
        <f>IF(K298="","",IFERROR(_xlfn.XLOOKUP(K298,verfvoorraad!C:C,verfvoorraad!E:E),IFERROR(_xlfn.XLOOKUP(IF(LEFT(UPPER(K298),4)="REV-","REV-"&amp;VALUE(MID(K298,5,99)),IF(LEN(K298)=5,LEFT(K298,2)&amp;"."&amp;RIGHT(K298,3),K298)),verfvoorraad!E:E,verfvoorraad!E:E),"Niet gevonden")))</f>
        <v/>
      </c>
      <c r="O298" t="str">
        <f>IF(K298="","",IFERROR(_xlfn.XLOOKUP(K298,verfvoorraad!C:C,verfvoorraad!F:F),IFERROR(_xlfn.XLOOKUP(IF(LEFT(UPPER(K298),4)="REV-","REV-"&amp;VALUE(MID(K298,5,99)),IF(LEN(K298)=5,LEFT(K298,2)&amp;"."&amp;RIGHT(K298,3),K298)),verfvoorraad!E:E,verfvoorraad!F:F),"Niet gevonden")))</f>
        <v/>
      </c>
      <c r="P298" t="str">
        <f>IF(K298="","",IFERROR(_xlfn.XLOOKUP(K298,verfvoorraad!C:C,verfvoorraad!G:G),IFERROR(_xlfn.XLOOKUP(IF(LEFT(UPPER(K298),4)="REV-","REV-"&amp;VALUE(MID(K298,5,99)),IF(LEN(K298)=5,LEFT(K298,2)&amp;"."&amp;RIGHT(K298,3),K298)),verfvoorraad!E:E,verfvoorraad!G:G),"Niet gevonden")))</f>
        <v/>
      </c>
      <c r="Q298" t="str">
        <f t="shared" si="8"/>
        <v/>
      </c>
      <c r="R298" t="str">
        <f t="shared" si="9"/>
        <v/>
      </c>
    </row>
    <row r="299" spans="6:18" x14ac:dyDescent="0.25">
      <c r="F299"/>
      <c r="G299" s="20"/>
      <c r="H299" s="21"/>
      <c r="K299" s="23"/>
      <c r="L299" t="str">
        <f>IF(K299="","",IFERROR(_xlfn.XLOOKUP(K299,verfvoorraad!C:C,verfvoorraad!B:B),IFERROR(_xlfn.XLOOKUP(IF(LEFT(UPPER(K299),4)="REV-","REV-"&amp;VALUE(MID(K299,5,99)),IF(LEN(K299)=5,LEFT(K299,2)&amp;"."&amp;RIGHT(K299,3),K299)),verfvoorraad!E:E,verfvoorraad!B:B),"Niet gevonden")))</f>
        <v/>
      </c>
      <c r="M299" t="str">
        <f>IF(K299="","",IFERROR(_xlfn.XLOOKUP(K299,verfvoorraad!C:C,verfvoorraad!D:D),IFERROR(_xlfn.XLOOKUP(IF(LEFT(UPPER(K299),4)="REV-","REV-"&amp;VALUE(MID(K299,5,99)),IF(LEN(K299)=5,LEFT(K299,2)&amp;"."&amp;RIGHT(K299,3),K299)),verfvoorraad!E:E,verfvoorraad!D:D),"Niet gevonden")))</f>
        <v/>
      </c>
      <c r="N299" t="str">
        <f>IF(K299="","",IFERROR(_xlfn.XLOOKUP(K299,verfvoorraad!C:C,verfvoorraad!E:E),IFERROR(_xlfn.XLOOKUP(IF(LEFT(UPPER(K299),4)="REV-","REV-"&amp;VALUE(MID(K299,5,99)),IF(LEN(K299)=5,LEFT(K299,2)&amp;"."&amp;RIGHT(K299,3),K299)),verfvoorraad!E:E,verfvoorraad!E:E),"Niet gevonden")))</f>
        <v/>
      </c>
      <c r="O299" t="str">
        <f>IF(K299="","",IFERROR(_xlfn.XLOOKUP(K299,verfvoorraad!C:C,verfvoorraad!F:F),IFERROR(_xlfn.XLOOKUP(IF(LEFT(UPPER(K299),4)="REV-","REV-"&amp;VALUE(MID(K299,5,99)),IF(LEN(K299)=5,LEFT(K299,2)&amp;"."&amp;RIGHT(K299,3),K299)),verfvoorraad!E:E,verfvoorraad!F:F),"Niet gevonden")))</f>
        <v/>
      </c>
      <c r="P299" t="str">
        <f>IF(K299="","",IFERROR(_xlfn.XLOOKUP(K299,verfvoorraad!C:C,verfvoorraad!G:G),IFERROR(_xlfn.XLOOKUP(IF(LEFT(UPPER(K299),4)="REV-","REV-"&amp;VALUE(MID(K299,5,99)),IF(LEN(K299)=5,LEFT(K299,2)&amp;"."&amp;RIGHT(K299,3),K299)),verfvoorraad!E:E,verfvoorraad!G:G),"Niet gevonden")))</f>
        <v/>
      </c>
      <c r="Q299" t="str">
        <f t="shared" si="8"/>
        <v/>
      </c>
      <c r="R299" t="str">
        <f t="shared" si="9"/>
        <v/>
      </c>
    </row>
    <row r="300" spans="6:18" x14ac:dyDescent="0.25">
      <c r="F300"/>
      <c r="G300" s="20"/>
      <c r="H300" s="21"/>
      <c r="K300" s="23"/>
      <c r="L300" t="str">
        <f>IF(K300="","",IFERROR(_xlfn.XLOOKUP(K300,verfvoorraad!C:C,verfvoorraad!B:B),IFERROR(_xlfn.XLOOKUP(IF(LEFT(UPPER(K300),4)="REV-","REV-"&amp;VALUE(MID(K300,5,99)),IF(LEN(K300)=5,LEFT(K300,2)&amp;"."&amp;RIGHT(K300,3),K300)),verfvoorraad!E:E,verfvoorraad!B:B),"Niet gevonden")))</f>
        <v/>
      </c>
      <c r="M300" t="str">
        <f>IF(K300="","",IFERROR(_xlfn.XLOOKUP(K300,verfvoorraad!C:C,verfvoorraad!D:D),IFERROR(_xlfn.XLOOKUP(IF(LEFT(UPPER(K300),4)="REV-","REV-"&amp;VALUE(MID(K300,5,99)),IF(LEN(K300)=5,LEFT(K300,2)&amp;"."&amp;RIGHT(K300,3),K300)),verfvoorraad!E:E,verfvoorraad!D:D),"Niet gevonden")))</f>
        <v/>
      </c>
      <c r="N300" t="str">
        <f>IF(K300="","",IFERROR(_xlfn.XLOOKUP(K300,verfvoorraad!C:C,verfvoorraad!E:E),IFERROR(_xlfn.XLOOKUP(IF(LEFT(UPPER(K300),4)="REV-","REV-"&amp;VALUE(MID(K300,5,99)),IF(LEN(K300)=5,LEFT(K300,2)&amp;"."&amp;RIGHT(K300,3),K300)),verfvoorraad!E:E,verfvoorraad!E:E),"Niet gevonden")))</f>
        <v/>
      </c>
      <c r="O300" t="str">
        <f>IF(K300="","",IFERROR(_xlfn.XLOOKUP(K300,verfvoorraad!C:C,verfvoorraad!F:F),IFERROR(_xlfn.XLOOKUP(IF(LEFT(UPPER(K300),4)="REV-","REV-"&amp;VALUE(MID(K300,5,99)),IF(LEN(K300)=5,LEFT(K300,2)&amp;"."&amp;RIGHT(K300,3),K300)),verfvoorraad!E:E,verfvoorraad!F:F),"Niet gevonden")))</f>
        <v/>
      </c>
      <c r="P300" t="str">
        <f>IF(K300="","",IFERROR(_xlfn.XLOOKUP(K300,verfvoorraad!C:C,verfvoorraad!G:G),IFERROR(_xlfn.XLOOKUP(IF(LEFT(UPPER(K300),4)="REV-","REV-"&amp;VALUE(MID(K300,5,99)),IF(LEN(K300)=5,LEFT(K300,2)&amp;"."&amp;RIGHT(K300,3),K300)),verfvoorraad!E:E,verfvoorraad!G:G),"Niet gevonden")))</f>
        <v/>
      </c>
      <c r="Q300" t="str">
        <f t="shared" si="8"/>
        <v/>
      </c>
      <c r="R300" t="str">
        <f t="shared" si="9"/>
        <v/>
      </c>
    </row>
    <row r="301" spans="6:18" x14ac:dyDescent="0.25">
      <c r="F301"/>
      <c r="G301" s="20"/>
      <c r="H301" s="21"/>
      <c r="K301" s="23"/>
      <c r="L301" t="str">
        <f>IF(K301="","",IFERROR(_xlfn.XLOOKUP(K301,verfvoorraad!C:C,verfvoorraad!B:B),IFERROR(_xlfn.XLOOKUP(IF(LEFT(UPPER(K301),4)="REV-","REV-"&amp;VALUE(MID(K301,5,99)),IF(LEN(K301)=5,LEFT(K301,2)&amp;"."&amp;RIGHT(K301,3),K301)),verfvoorraad!E:E,verfvoorraad!B:B),"Niet gevonden")))</f>
        <v/>
      </c>
      <c r="M301" t="str">
        <f>IF(K301="","",IFERROR(_xlfn.XLOOKUP(K301,verfvoorraad!C:C,verfvoorraad!D:D),IFERROR(_xlfn.XLOOKUP(IF(LEFT(UPPER(K301),4)="REV-","REV-"&amp;VALUE(MID(K301,5,99)),IF(LEN(K301)=5,LEFT(K301,2)&amp;"."&amp;RIGHT(K301,3),K301)),verfvoorraad!E:E,verfvoorraad!D:D),"Niet gevonden")))</f>
        <v/>
      </c>
      <c r="N301" t="str">
        <f>IF(K301="","",IFERROR(_xlfn.XLOOKUP(K301,verfvoorraad!C:C,verfvoorraad!E:E),IFERROR(_xlfn.XLOOKUP(IF(LEFT(UPPER(K301),4)="REV-","REV-"&amp;VALUE(MID(K301,5,99)),IF(LEN(K301)=5,LEFT(K301,2)&amp;"."&amp;RIGHT(K301,3),K301)),verfvoorraad!E:E,verfvoorraad!E:E),"Niet gevonden")))</f>
        <v/>
      </c>
      <c r="O301" t="str">
        <f>IF(K301="","",IFERROR(_xlfn.XLOOKUP(K301,verfvoorraad!C:C,verfvoorraad!F:F),IFERROR(_xlfn.XLOOKUP(IF(LEFT(UPPER(K301),4)="REV-","REV-"&amp;VALUE(MID(K301,5,99)),IF(LEN(K301)=5,LEFT(K301,2)&amp;"."&amp;RIGHT(K301,3),K301)),verfvoorraad!E:E,verfvoorraad!F:F),"Niet gevonden")))</f>
        <v/>
      </c>
      <c r="P301" t="str">
        <f>IF(K301="","",IFERROR(_xlfn.XLOOKUP(K301,verfvoorraad!C:C,verfvoorraad!G:G),IFERROR(_xlfn.XLOOKUP(IF(LEFT(UPPER(K301),4)="REV-","REV-"&amp;VALUE(MID(K301,5,99)),IF(LEN(K301)=5,LEFT(K301,2)&amp;"."&amp;RIGHT(K301,3),K301)),verfvoorraad!E:E,verfvoorraad!G:G),"Niet gevonden")))</f>
        <v/>
      </c>
      <c r="Q301" t="str">
        <f t="shared" si="8"/>
        <v/>
      </c>
      <c r="R301" t="str">
        <f t="shared" si="9"/>
        <v/>
      </c>
    </row>
    <row r="302" spans="6:18" x14ac:dyDescent="0.25">
      <c r="F302"/>
      <c r="G302" s="20"/>
      <c r="H302" s="21"/>
      <c r="K302" s="23"/>
      <c r="L302" t="str">
        <f>IF(K302="","",IFERROR(_xlfn.XLOOKUP(K302,verfvoorraad!C:C,verfvoorraad!B:B),IFERROR(_xlfn.XLOOKUP(IF(LEFT(UPPER(K302),4)="REV-","REV-"&amp;VALUE(MID(K302,5,99)),IF(LEN(K302)=5,LEFT(K302,2)&amp;"."&amp;RIGHT(K302,3),K302)),verfvoorraad!E:E,verfvoorraad!B:B),"Niet gevonden")))</f>
        <v/>
      </c>
      <c r="M302" t="str">
        <f>IF(K302="","",IFERROR(_xlfn.XLOOKUP(K302,verfvoorraad!C:C,verfvoorraad!D:D),IFERROR(_xlfn.XLOOKUP(IF(LEFT(UPPER(K302),4)="REV-","REV-"&amp;VALUE(MID(K302,5,99)),IF(LEN(K302)=5,LEFT(K302,2)&amp;"."&amp;RIGHT(K302,3),K302)),verfvoorraad!E:E,verfvoorraad!D:D),"Niet gevonden")))</f>
        <v/>
      </c>
      <c r="N302" t="str">
        <f>IF(K302="","",IFERROR(_xlfn.XLOOKUP(K302,verfvoorraad!C:C,verfvoorraad!E:E),IFERROR(_xlfn.XLOOKUP(IF(LEFT(UPPER(K302),4)="REV-","REV-"&amp;VALUE(MID(K302,5,99)),IF(LEN(K302)=5,LEFT(K302,2)&amp;"."&amp;RIGHT(K302,3),K302)),verfvoorraad!E:E,verfvoorraad!E:E),"Niet gevonden")))</f>
        <v/>
      </c>
      <c r="O302" t="str">
        <f>IF(K302="","",IFERROR(_xlfn.XLOOKUP(K302,verfvoorraad!C:C,verfvoorraad!F:F),IFERROR(_xlfn.XLOOKUP(IF(LEFT(UPPER(K302),4)="REV-","REV-"&amp;VALUE(MID(K302,5,99)),IF(LEN(K302)=5,LEFT(K302,2)&amp;"."&amp;RIGHT(K302,3),K302)),verfvoorraad!E:E,verfvoorraad!F:F),"Niet gevonden")))</f>
        <v/>
      </c>
      <c r="P302" t="str">
        <f>IF(K302="","",IFERROR(_xlfn.XLOOKUP(K302,verfvoorraad!C:C,verfvoorraad!G:G),IFERROR(_xlfn.XLOOKUP(IF(LEFT(UPPER(K302),4)="REV-","REV-"&amp;VALUE(MID(K302,5,99)),IF(LEN(K302)=5,LEFT(K302,2)&amp;"."&amp;RIGHT(K302,3),K302)),verfvoorraad!E:E,verfvoorraad!G:G),"Niet gevonden")))</f>
        <v/>
      </c>
      <c r="Q302" t="str">
        <f t="shared" si="8"/>
        <v/>
      </c>
      <c r="R302" t="str">
        <f t="shared" si="9"/>
        <v/>
      </c>
    </row>
    <row r="303" spans="6:18" x14ac:dyDescent="0.25">
      <c r="F303"/>
      <c r="G303" s="20"/>
      <c r="H303" s="21"/>
      <c r="K303" s="23"/>
      <c r="L303" t="str">
        <f>IF(K303="","",IFERROR(_xlfn.XLOOKUP(K303,verfvoorraad!C:C,verfvoorraad!B:B),IFERROR(_xlfn.XLOOKUP(IF(LEFT(UPPER(K303),4)="REV-","REV-"&amp;VALUE(MID(K303,5,99)),IF(LEN(K303)=5,LEFT(K303,2)&amp;"."&amp;RIGHT(K303,3),K303)),verfvoorraad!E:E,verfvoorraad!B:B),"Niet gevonden")))</f>
        <v/>
      </c>
      <c r="M303" t="str">
        <f>IF(K303="","",IFERROR(_xlfn.XLOOKUP(K303,verfvoorraad!C:C,verfvoorraad!D:D),IFERROR(_xlfn.XLOOKUP(IF(LEFT(UPPER(K303),4)="REV-","REV-"&amp;VALUE(MID(K303,5,99)),IF(LEN(K303)=5,LEFT(K303,2)&amp;"."&amp;RIGHT(K303,3),K303)),verfvoorraad!E:E,verfvoorraad!D:D),"Niet gevonden")))</f>
        <v/>
      </c>
      <c r="N303" t="str">
        <f>IF(K303="","",IFERROR(_xlfn.XLOOKUP(K303,verfvoorraad!C:C,verfvoorraad!E:E),IFERROR(_xlfn.XLOOKUP(IF(LEFT(UPPER(K303),4)="REV-","REV-"&amp;VALUE(MID(K303,5,99)),IF(LEN(K303)=5,LEFT(K303,2)&amp;"."&amp;RIGHT(K303,3),K303)),verfvoorraad!E:E,verfvoorraad!E:E),"Niet gevonden")))</f>
        <v/>
      </c>
      <c r="O303" t="str">
        <f>IF(K303="","",IFERROR(_xlfn.XLOOKUP(K303,verfvoorraad!C:C,verfvoorraad!F:F),IFERROR(_xlfn.XLOOKUP(IF(LEFT(UPPER(K303),4)="REV-","REV-"&amp;VALUE(MID(K303,5,99)),IF(LEN(K303)=5,LEFT(K303,2)&amp;"."&amp;RIGHT(K303,3),K303)),verfvoorraad!E:E,verfvoorraad!F:F),"Niet gevonden")))</f>
        <v/>
      </c>
      <c r="P303" t="str">
        <f>IF(K303="","",IFERROR(_xlfn.XLOOKUP(K303,verfvoorraad!C:C,verfvoorraad!G:G),IFERROR(_xlfn.XLOOKUP(IF(LEFT(UPPER(K303),4)="REV-","REV-"&amp;VALUE(MID(K303,5,99)),IF(LEN(K303)=5,LEFT(K303,2)&amp;"."&amp;RIGHT(K303,3),K303)),verfvoorraad!E:E,verfvoorraad!G:G),"Niet gevonden")))</f>
        <v/>
      </c>
      <c r="Q303" t="str">
        <f t="shared" si="8"/>
        <v/>
      </c>
      <c r="R303" t="str">
        <f t="shared" si="9"/>
        <v/>
      </c>
    </row>
    <row r="304" spans="6:18" x14ac:dyDescent="0.25">
      <c r="F304"/>
      <c r="G304" s="20"/>
      <c r="H304" s="21"/>
      <c r="K304" s="23"/>
      <c r="L304" t="str">
        <f>IF(K304="","",IFERROR(_xlfn.XLOOKUP(K304,verfvoorraad!C:C,verfvoorraad!B:B),IFERROR(_xlfn.XLOOKUP(IF(LEFT(UPPER(K304),4)="REV-","REV-"&amp;VALUE(MID(K304,5,99)),IF(LEN(K304)=5,LEFT(K304,2)&amp;"."&amp;RIGHT(K304,3),K304)),verfvoorraad!E:E,verfvoorraad!B:B),"Niet gevonden")))</f>
        <v/>
      </c>
      <c r="M304" t="str">
        <f>IF(K304="","",IFERROR(_xlfn.XLOOKUP(K304,verfvoorraad!C:C,verfvoorraad!D:D),IFERROR(_xlfn.XLOOKUP(IF(LEFT(UPPER(K304),4)="REV-","REV-"&amp;VALUE(MID(K304,5,99)),IF(LEN(K304)=5,LEFT(K304,2)&amp;"."&amp;RIGHT(K304,3),K304)),verfvoorraad!E:E,verfvoorraad!D:D),"Niet gevonden")))</f>
        <v/>
      </c>
      <c r="N304" t="str">
        <f>IF(K304="","",IFERROR(_xlfn.XLOOKUP(K304,verfvoorraad!C:C,verfvoorraad!E:E),IFERROR(_xlfn.XLOOKUP(IF(LEFT(UPPER(K304),4)="REV-","REV-"&amp;VALUE(MID(K304,5,99)),IF(LEN(K304)=5,LEFT(K304,2)&amp;"."&amp;RIGHT(K304,3),K304)),verfvoorraad!E:E,verfvoorraad!E:E),"Niet gevonden")))</f>
        <v/>
      </c>
      <c r="O304" t="str">
        <f>IF(K304="","",IFERROR(_xlfn.XLOOKUP(K304,verfvoorraad!C:C,verfvoorraad!F:F),IFERROR(_xlfn.XLOOKUP(IF(LEFT(UPPER(K304),4)="REV-","REV-"&amp;VALUE(MID(K304,5,99)),IF(LEN(K304)=5,LEFT(K304,2)&amp;"."&amp;RIGHT(K304,3),K304)),verfvoorraad!E:E,verfvoorraad!F:F),"Niet gevonden")))</f>
        <v/>
      </c>
      <c r="P304" t="str">
        <f>IF(K304="","",IFERROR(_xlfn.XLOOKUP(K304,verfvoorraad!C:C,verfvoorraad!G:G),IFERROR(_xlfn.XLOOKUP(IF(LEFT(UPPER(K304),4)="REV-","REV-"&amp;VALUE(MID(K304,5,99)),IF(LEN(K304)=5,LEFT(K304,2)&amp;"."&amp;RIGHT(K304,3),K304)),verfvoorraad!E:E,verfvoorraad!G:G),"Niet gevonden")))</f>
        <v/>
      </c>
      <c r="Q304" t="str">
        <f t="shared" si="8"/>
        <v/>
      </c>
      <c r="R304" t="str">
        <f t="shared" si="9"/>
        <v/>
      </c>
    </row>
    <row r="305" spans="6:18" x14ac:dyDescent="0.25">
      <c r="F305"/>
      <c r="G305" s="20"/>
      <c r="H305" s="21"/>
      <c r="K305" s="23"/>
      <c r="L305" t="str">
        <f>IF(K305="","",IFERROR(_xlfn.XLOOKUP(K305,verfvoorraad!C:C,verfvoorraad!B:B),IFERROR(_xlfn.XLOOKUP(IF(LEFT(UPPER(K305),4)="REV-","REV-"&amp;VALUE(MID(K305,5,99)),IF(LEN(K305)=5,LEFT(K305,2)&amp;"."&amp;RIGHT(K305,3),K305)),verfvoorraad!E:E,verfvoorraad!B:B),"Niet gevonden")))</f>
        <v/>
      </c>
      <c r="M305" t="str">
        <f>IF(K305="","",IFERROR(_xlfn.XLOOKUP(K305,verfvoorraad!C:C,verfvoorraad!D:D),IFERROR(_xlfn.XLOOKUP(IF(LEFT(UPPER(K305),4)="REV-","REV-"&amp;VALUE(MID(K305,5,99)),IF(LEN(K305)=5,LEFT(K305,2)&amp;"."&amp;RIGHT(K305,3),K305)),verfvoorraad!E:E,verfvoorraad!D:D),"Niet gevonden")))</f>
        <v/>
      </c>
      <c r="N305" t="str">
        <f>IF(K305="","",IFERROR(_xlfn.XLOOKUP(K305,verfvoorraad!C:C,verfvoorraad!E:E),IFERROR(_xlfn.XLOOKUP(IF(LEFT(UPPER(K305),4)="REV-","REV-"&amp;VALUE(MID(K305,5,99)),IF(LEN(K305)=5,LEFT(K305,2)&amp;"."&amp;RIGHT(K305,3),K305)),verfvoorraad!E:E,verfvoorraad!E:E),"Niet gevonden")))</f>
        <v/>
      </c>
      <c r="O305" t="str">
        <f>IF(K305="","",IFERROR(_xlfn.XLOOKUP(K305,verfvoorraad!C:C,verfvoorraad!F:F),IFERROR(_xlfn.XLOOKUP(IF(LEFT(UPPER(K305),4)="REV-","REV-"&amp;VALUE(MID(K305,5,99)),IF(LEN(K305)=5,LEFT(K305,2)&amp;"."&amp;RIGHT(K305,3),K305)),verfvoorraad!E:E,verfvoorraad!F:F),"Niet gevonden")))</f>
        <v/>
      </c>
      <c r="P305" t="str">
        <f>IF(K305="","",IFERROR(_xlfn.XLOOKUP(K305,verfvoorraad!C:C,verfvoorraad!G:G),IFERROR(_xlfn.XLOOKUP(IF(LEFT(UPPER(K305),4)="REV-","REV-"&amp;VALUE(MID(K305,5,99)),IF(LEN(K305)=5,LEFT(K305,2)&amp;"."&amp;RIGHT(K305,3),K305)),verfvoorraad!E:E,verfvoorraad!G:G),"Niet gevonden")))</f>
        <v/>
      </c>
      <c r="Q305" t="str">
        <f t="shared" si="8"/>
        <v/>
      </c>
      <c r="R305" t="str">
        <f t="shared" si="9"/>
        <v/>
      </c>
    </row>
    <row r="306" spans="6:18" x14ac:dyDescent="0.25">
      <c r="F306"/>
      <c r="G306" s="20"/>
      <c r="H306" s="21"/>
      <c r="K306" s="23"/>
      <c r="L306" t="str">
        <f>IF(K306="","",IFERROR(_xlfn.XLOOKUP(K306,verfvoorraad!C:C,verfvoorraad!B:B),IFERROR(_xlfn.XLOOKUP(IF(LEFT(UPPER(K306),4)="REV-","REV-"&amp;VALUE(MID(K306,5,99)),IF(LEN(K306)=5,LEFT(K306,2)&amp;"."&amp;RIGHT(K306,3),K306)),verfvoorraad!E:E,verfvoorraad!B:B),"Niet gevonden")))</f>
        <v/>
      </c>
      <c r="M306" t="str">
        <f>IF(K306="","",IFERROR(_xlfn.XLOOKUP(K306,verfvoorraad!C:C,verfvoorraad!D:D),IFERROR(_xlfn.XLOOKUP(IF(LEFT(UPPER(K306),4)="REV-","REV-"&amp;VALUE(MID(K306,5,99)),IF(LEN(K306)=5,LEFT(K306,2)&amp;"."&amp;RIGHT(K306,3),K306)),verfvoorraad!E:E,verfvoorraad!D:D),"Niet gevonden")))</f>
        <v/>
      </c>
      <c r="N306" t="str">
        <f>IF(K306="","",IFERROR(_xlfn.XLOOKUP(K306,verfvoorraad!C:C,verfvoorraad!E:E),IFERROR(_xlfn.XLOOKUP(IF(LEFT(UPPER(K306),4)="REV-","REV-"&amp;VALUE(MID(K306,5,99)),IF(LEN(K306)=5,LEFT(K306,2)&amp;"."&amp;RIGHT(K306,3),K306)),verfvoorraad!E:E,verfvoorraad!E:E),"Niet gevonden")))</f>
        <v/>
      </c>
      <c r="O306" t="str">
        <f>IF(K306="","",IFERROR(_xlfn.XLOOKUP(K306,verfvoorraad!C:C,verfvoorraad!F:F),IFERROR(_xlfn.XLOOKUP(IF(LEFT(UPPER(K306),4)="REV-","REV-"&amp;VALUE(MID(K306,5,99)),IF(LEN(K306)=5,LEFT(K306,2)&amp;"."&amp;RIGHT(K306,3),K306)),verfvoorraad!E:E,verfvoorraad!F:F),"Niet gevonden")))</f>
        <v/>
      </c>
      <c r="P306" t="str">
        <f>IF(K306="","",IFERROR(_xlfn.XLOOKUP(K306,verfvoorraad!C:C,verfvoorraad!G:G),IFERROR(_xlfn.XLOOKUP(IF(LEFT(UPPER(K306),4)="REV-","REV-"&amp;VALUE(MID(K306,5,99)),IF(LEN(K306)=5,LEFT(K306,2)&amp;"."&amp;RIGHT(K306,3),K306)),verfvoorraad!E:E,verfvoorraad!G:G),"Niet gevonden")))</f>
        <v/>
      </c>
      <c r="Q306" t="str">
        <f t="shared" si="8"/>
        <v/>
      </c>
      <c r="R306" t="str">
        <f t="shared" si="9"/>
        <v/>
      </c>
    </row>
    <row r="307" spans="6:18" x14ac:dyDescent="0.25">
      <c r="F307"/>
      <c r="G307" s="20"/>
      <c r="H307" s="21"/>
      <c r="K307" s="23"/>
      <c r="L307" t="str">
        <f>IF(K307="","",IFERROR(_xlfn.XLOOKUP(K307,verfvoorraad!C:C,verfvoorraad!B:B),IFERROR(_xlfn.XLOOKUP(IF(LEFT(UPPER(K307),4)="REV-","REV-"&amp;VALUE(MID(K307,5,99)),IF(LEN(K307)=5,LEFT(K307,2)&amp;"."&amp;RIGHT(K307,3),K307)),verfvoorraad!E:E,verfvoorraad!B:B),"Niet gevonden")))</f>
        <v/>
      </c>
      <c r="M307" t="str">
        <f>IF(K307="","",IFERROR(_xlfn.XLOOKUP(K307,verfvoorraad!C:C,verfvoorraad!D:D),IFERROR(_xlfn.XLOOKUP(IF(LEFT(UPPER(K307),4)="REV-","REV-"&amp;VALUE(MID(K307,5,99)),IF(LEN(K307)=5,LEFT(K307,2)&amp;"."&amp;RIGHT(K307,3),K307)),verfvoorraad!E:E,verfvoorraad!D:D),"Niet gevonden")))</f>
        <v/>
      </c>
      <c r="N307" t="str">
        <f>IF(K307="","",IFERROR(_xlfn.XLOOKUP(K307,verfvoorraad!C:C,verfvoorraad!E:E),IFERROR(_xlfn.XLOOKUP(IF(LEFT(UPPER(K307),4)="REV-","REV-"&amp;VALUE(MID(K307,5,99)),IF(LEN(K307)=5,LEFT(K307,2)&amp;"."&amp;RIGHT(K307,3),K307)),verfvoorraad!E:E,verfvoorraad!E:E),"Niet gevonden")))</f>
        <v/>
      </c>
      <c r="O307" t="str">
        <f>IF(K307="","",IFERROR(_xlfn.XLOOKUP(K307,verfvoorraad!C:C,verfvoorraad!F:F),IFERROR(_xlfn.XLOOKUP(IF(LEFT(UPPER(K307),4)="REV-","REV-"&amp;VALUE(MID(K307,5,99)),IF(LEN(K307)=5,LEFT(K307,2)&amp;"."&amp;RIGHT(K307,3),K307)),verfvoorraad!E:E,verfvoorraad!F:F),"Niet gevonden")))</f>
        <v/>
      </c>
      <c r="P307" t="str">
        <f>IF(K307="","",IFERROR(_xlfn.XLOOKUP(K307,verfvoorraad!C:C,verfvoorraad!G:G),IFERROR(_xlfn.XLOOKUP(IF(LEFT(UPPER(K307),4)="REV-","REV-"&amp;VALUE(MID(K307,5,99)),IF(LEN(K307)=5,LEFT(K307,2)&amp;"."&amp;RIGHT(K307,3),K307)),verfvoorraad!E:E,verfvoorraad!G:G),"Niet gevonden")))</f>
        <v/>
      </c>
      <c r="Q307" t="str">
        <f t="shared" si="8"/>
        <v/>
      </c>
      <c r="R307" t="str">
        <f t="shared" si="9"/>
        <v/>
      </c>
    </row>
    <row r="308" spans="6:18" x14ac:dyDescent="0.25">
      <c r="F308"/>
      <c r="G308" s="20"/>
      <c r="H308" s="21"/>
      <c r="K308" s="23"/>
      <c r="L308" t="str">
        <f>IF(K308="","",IFERROR(_xlfn.XLOOKUP(K308,verfvoorraad!C:C,verfvoorraad!B:B),IFERROR(_xlfn.XLOOKUP(IF(LEFT(UPPER(K308),4)="REV-","REV-"&amp;VALUE(MID(K308,5,99)),IF(LEN(K308)=5,LEFT(K308,2)&amp;"."&amp;RIGHT(K308,3),K308)),verfvoorraad!E:E,verfvoorraad!B:B),"Niet gevonden")))</f>
        <v/>
      </c>
      <c r="M308" t="str">
        <f>IF(K308="","",IFERROR(_xlfn.XLOOKUP(K308,verfvoorraad!C:C,verfvoorraad!D:D),IFERROR(_xlfn.XLOOKUP(IF(LEFT(UPPER(K308),4)="REV-","REV-"&amp;VALUE(MID(K308,5,99)),IF(LEN(K308)=5,LEFT(K308,2)&amp;"."&amp;RIGHT(K308,3),K308)),verfvoorraad!E:E,verfvoorraad!D:D),"Niet gevonden")))</f>
        <v/>
      </c>
      <c r="N308" t="str">
        <f>IF(K308="","",IFERROR(_xlfn.XLOOKUP(K308,verfvoorraad!C:C,verfvoorraad!E:E),IFERROR(_xlfn.XLOOKUP(IF(LEFT(UPPER(K308),4)="REV-","REV-"&amp;VALUE(MID(K308,5,99)),IF(LEN(K308)=5,LEFT(K308,2)&amp;"."&amp;RIGHT(K308,3),K308)),verfvoorraad!E:E,verfvoorraad!E:E),"Niet gevonden")))</f>
        <v/>
      </c>
      <c r="O308" t="str">
        <f>IF(K308="","",IFERROR(_xlfn.XLOOKUP(K308,verfvoorraad!C:C,verfvoorraad!F:F),IFERROR(_xlfn.XLOOKUP(IF(LEFT(UPPER(K308),4)="REV-","REV-"&amp;VALUE(MID(K308,5,99)),IF(LEN(K308)=5,LEFT(K308,2)&amp;"."&amp;RIGHT(K308,3),K308)),verfvoorraad!E:E,verfvoorraad!F:F),"Niet gevonden")))</f>
        <v/>
      </c>
      <c r="P308" t="str">
        <f>IF(K308="","",IFERROR(_xlfn.XLOOKUP(K308,verfvoorraad!C:C,verfvoorraad!G:G),IFERROR(_xlfn.XLOOKUP(IF(LEFT(UPPER(K308),4)="REV-","REV-"&amp;VALUE(MID(K308,5,99)),IF(LEN(K308)=5,LEFT(K308,2)&amp;"."&amp;RIGHT(K308,3),K308)),verfvoorraad!E:E,verfvoorraad!G:G),"Niet gevonden")))</f>
        <v/>
      </c>
      <c r="Q308" t="str">
        <f t="shared" si="8"/>
        <v/>
      </c>
      <c r="R308" t="str">
        <f t="shared" si="9"/>
        <v/>
      </c>
    </row>
    <row r="309" spans="6:18" x14ac:dyDescent="0.25">
      <c r="F309"/>
      <c r="G309" s="20"/>
      <c r="H309" s="21"/>
      <c r="K309" s="23"/>
      <c r="L309" t="str">
        <f>IF(K309="","",IFERROR(_xlfn.XLOOKUP(K309,verfvoorraad!C:C,verfvoorraad!B:B),IFERROR(_xlfn.XLOOKUP(IF(LEFT(UPPER(K309),4)="REV-","REV-"&amp;VALUE(MID(K309,5,99)),IF(LEN(K309)=5,LEFT(K309,2)&amp;"."&amp;RIGHT(K309,3),K309)),verfvoorraad!E:E,verfvoorraad!B:B),"Niet gevonden")))</f>
        <v/>
      </c>
      <c r="M309" t="str">
        <f>IF(K309="","",IFERROR(_xlfn.XLOOKUP(K309,verfvoorraad!C:C,verfvoorraad!D:D),IFERROR(_xlfn.XLOOKUP(IF(LEFT(UPPER(K309),4)="REV-","REV-"&amp;VALUE(MID(K309,5,99)),IF(LEN(K309)=5,LEFT(K309,2)&amp;"."&amp;RIGHT(K309,3),K309)),verfvoorraad!E:E,verfvoorraad!D:D),"Niet gevonden")))</f>
        <v/>
      </c>
      <c r="N309" t="str">
        <f>IF(K309="","",IFERROR(_xlfn.XLOOKUP(K309,verfvoorraad!C:C,verfvoorraad!E:E),IFERROR(_xlfn.XLOOKUP(IF(LEFT(UPPER(K309),4)="REV-","REV-"&amp;VALUE(MID(K309,5,99)),IF(LEN(K309)=5,LEFT(K309,2)&amp;"."&amp;RIGHT(K309,3),K309)),verfvoorraad!E:E,verfvoorraad!E:E),"Niet gevonden")))</f>
        <v/>
      </c>
      <c r="O309" t="str">
        <f>IF(K309="","",IFERROR(_xlfn.XLOOKUP(K309,verfvoorraad!C:C,verfvoorraad!F:F),IFERROR(_xlfn.XLOOKUP(IF(LEFT(UPPER(K309),4)="REV-","REV-"&amp;VALUE(MID(K309,5,99)),IF(LEN(K309)=5,LEFT(K309,2)&amp;"."&amp;RIGHT(K309,3),K309)),verfvoorraad!E:E,verfvoorraad!F:F),"Niet gevonden")))</f>
        <v/>
      </c>
      <c r="P309" t="str">
        <f>IF(K309="","",IFERROR(_xlfn.XLOOKUP(K309,verfvoorraad!C:C,verfvoorraad!G:G),IFERROR(_xlfn.XLOOKUP(IF(LEFT(UPPER(K309),4)="REV-","REV-"&amp;VALUE(MID(K309,5,99)),IF(LEN(K309)=5,LEFT(K309,2)&amp;"."&amp;RIGHT(K309,3),K309)),verfvoorraad!E:E,verfvoorraad!G:G),"Niet gevonden")))</f>
        <v/>
      </c>
      <c r="Q309" t="str">
        <f t="shared" si="8"/>
        <v/>
      </c>
      <c r="R309" t="str">
        <f t="shared" si="9"/>
        <v/>
      </c>
    </row>
    <row r="310" spans="6:18" x14ac:dyDescent="0.25">
      <c r="F310"/>
      <c r="G310" s="20"/>
      <c r="H310" s="21"/>
      <c r="K310" s="23"/>
      <c r="L310" t="str">
        <f>IF(K310="","",IFERROR(_xlfn.XLOOKUP(K310,verfvoorraad!C:C,verfvoorraad!B:B),IFERROR(_xlfn.XLOOKUP(IF(LEFT(UPPER(K310),4)="REV-","REV-"&amp;VALUE(MID(K310,5,99)),IF(LEN(K310)=5,LEFT(K310,2)&amp;"."&amp;RIGHT(K310,3),K310)),verfvoorraad!E:E,verfvoorraad!B:B),"Niet gevonden")))</f>
        <v/>
      </c>
      <c r="M310" t="str">
        <f>IF(K310="","",IFERROR(_xlfn.XLOOKUP(K310,verfvoorraad!C:C,verfvoorraad!D:D),IFERROR(_xlfn.XLOOKUP(IF(LEFT(UPPER(K310),4)="REV-","REV-"&amp;VALUE(MID(K310,5,99)),IF(LEN(K310)=5,LEFT(K310,2)&amp;"."&amp;RIGHT(K310,3),K310)),verfvoorraad!E:E,verfvoorraad!D:D),"Niet gevonden")))</f>
        <v/>
      </c>
      <c r="N310" t="str">
        <f>IF(K310="","",IFERROR(_xlfn.XLOOKUP(K310,verfvoorraad!C:C,verfvoorraad!E:E),IFERROR(_xlfn.XLOOKUP(IF(LEFT(UPPER(K310),4)="REV-","REV-"&amp;VALUE(MID(K310,5,99)),IF(LEN(K310)=5,LEFT(K310,2)&amp;"."&amp;RIGHT(K310,3),K310)),verfvoorraad!E:E,verfvoorraad!E:E),"Niet gevonden")))</f>
        <v/>
      </c>
      <c r="O310" t="str">
        <f>IF(K310="","",IFERROR(_xlfn.XLOOKUP(K310,verfvoorraad!C:C,verfvoorraad!F:F),IFERROR(_xlfn.XLOOKUP(IF(LEFT(UPPER(K310),4)="REV-","REV-"&amp;VALUE(MID(K310,5,99)),IF(LEN(K310)=5,LEFT(K310,2)&amp;"."&amp;RIGHT(K310,3),K310)),verfvoorraad!E:E,verfvoorraad!F:F),"Niet gevonden")))</f>
        <v/>
      </c>
      <c r="P310" t="str">
        <f>IF(K310="","",IFERROR(_xlfn.XLOOKUP(K310,verfvoorraad!C:C,verfvoorraad!G:G),IFERROR(_xlfn.XLOOKUP(IF(LEFT(UPPER(K310),4)="REV-","REV-"&amp;VALUE(MID(K310,5,99)),IF(LEN(K310)=5,LEFT(K310,2)&amp;"."&amp;RIGHT(K310,3),K310)),verfvoorraad!E:E,verfvoorraad!G:G),"Niet gevonden")))</f>
        <v/>
      </c>
      <c r="Q310" t="str">
        <f t="shared" si="8"/>
        <v/>
      </c>
      <c r="R310" t="str">
        <f t="shared" si="9"/>
        <v/>
      </c>
    </row>
    <row r="311" spans="6:18" x14ac:dyDescent="0.25">
      <c r="F311"/>
      <c r="G311" s="20"/>
      <c r="H311" s="21"/>
      <c r="K311" s="23"/>
      <c r="L311" t="str">
        <f>IF(K311="","",IFERROR(_xlfn.XLOOKUP(K311,verfvoorraad!C:C,verfvoorraad!B:B),IFERROR(_xlfn.XLOOKUP(IF(LEFT(UPPER(K311),4)="REV-","REV-"&amp;VALUE(MID(K311,5,99)),IF(LEN(K311)=5,LEFT(K311,2)&amp;"."&amp;RIGHT(K311,3),K311)),verfvoorraad!E:E,verfvoorraad!B:B),"Niet gevonden")))</f>
        <v/>
      </c>
      <c r="M311" t="str">
        <f>IF(K311="","",IFERROR(_xlfn.XLOOKUP(K311,verfvoorraad!C:C,verfvoorraad!D:D),IFERROR(_xlfn.XLOOKUP(IF(LEFT(UPPER(K311),4)="REV-","REV-"&amp;VALUE(MID(K311,5,99)),IF(LEN(K311)=5,LEFT(K311,2)&amp;"."&amp;RIGHT(K311,3),K311)),verfvoorraad!E:E,verfvoorraad!D:D),"Niet gevonden")))</f>
        <v/>
      </c>
      <c r="N311" t="str">
        <f>IF(K311="","",IFERROR(_xlfn.XLOOKUP(K311,verfvoorraad!C:C,verfvoorraad!E:E),IFERROR(_xlfn.XLOOKUP(IF(LEFT(UPPER(K311),4)="REV-","REV-"&amp;VALUE(MID(K311,5,99)),IF(LEN(K311)=5,LEFT(K311,2)&amp;"."&amp;RIGHT(K311,3),K311)),verfvoorraad!E:E,verfvoorraad!E:E),"Niet gevonden")))</f>
        <v/>
      </c>
      <c r="O311" t="str">
        <f>IF(K311="","",IFERROR(_xlfn.XLOOKUP(K311,verfvoorraad!C:C,verfvoorraad!F:F),IFERROR(_xlfn.XLOOKUP(IF(LEFT(UPPER(K311),4)="REV-","REV-"&amp;VALUE(MID(K311,5,99)),IF(LEN(K311)=5,LEFT(K311,2)&amp;"."&amp;RIGHT(K311,3),K311)),verfvoorraad!E:E,verfvoorraad!F:F),"Niet gevonden")))</f>
        <v/>
      </c>
      <c r="P311" t="str">
        <f>IF(K311="","",IFERROR(_xlfn.XLOOKUP(K311,verfvoorraad!C:C,verfvoorraad!G:G),IFERROR(_xlfn.XLOOKUP(IF(LEFT(UPPER(K311),4)="REV-","REV-"&amp;VALUE(MID(K311,5,99)),IF(LEN(K311)=5,LEFT(K311,2)&amp;"."&amp;RIGHT(K311,3),K311)),verfvoorraad!E:E,verfvoorraad!G:G),"Niet gevonden")))</f>
        <v/>
      </c>
      <c r="Q311" t="str">
        <f t="shared" si="8"/>
        <v/>
      </c>
      <c r="R311" t="str">
        <f t="shared" si="9"/>
        <v/>
      </c>
    </row>
    <row r="312" spans="6:18" x14ac:dyDescent="0.25">
      <c r="F312"/>
      <c r="G312" s="20"/>
      <c r="H312" s="21"/>
      <c r="K312" s="23"/>
      <c r="L312" t="str">
        <f>IF(K312="","",IFERROR(_xlfn.XLOOKUP(K312,verfvoorraad!C:C,verfvoorraad!B:B),IFERROR(_xlfn.XLOOKUP(IF(LEFT(UPPER(K312),4)="REV-","REV-"&amp;VALUE(MID(K312,5,99)),IF(LEN(K312)=5,LEFT(K312,2)&amp;"."&amp;RIGHT(K312,3),K312)),verfvoorraad!E:E,verfvoorraad!B:B),"Niet gevonden")))</f>
        <v/>
      </c>
      <c r="M312" t="str">
        <f>IF(K312="","",IFERROR(_xlfn.XLOOKUP(K312,verfvoorraad!C:C,verfvoorraad!D:D),IFERROR(_xlfn.XLOOKUP(IF(LEFT(UPPER(K312),4)="REV-","REV-"&amp;VALUE(MID(K312,5,99)),IF(LEN(K312)=5,LEFT(K312,2)&amp;"."&amp;RIGHT(K312,3),K312)),verfvoorraad!E:E,verfvoorraad!D:D),"Niet gevonden")))</f>
        <v/>
      </c>
      <c r="N312" t="str">
        <f>IF(K312="","",IFERROR(_xlfn.XLOOKUP(K312,verfvoorraad!C:C,verfvoorraad!E:E),IFERROR(_xlfn.XLOOKUP(IF(LEFT(UPPER(K312),4)="REV-","REV-"&amp;VALUE(MID(K312,5,99)),IF(LEN(K312)=5,LEFT(K312,2)&amp;"."&amp;RIGHT(K312,3),K312)),verfvoorraad!E:E,verfvoorraad!E:E),"Niet gevonden")))</f>
        <v/>
      </c>
      <c r="O312" t="str">
        <f>IF(K312="","",IFERROR(_xlfn.XLOOKUP(K312,verfvoorraad!C:C,verfvoorraad!F:F),IFERROR(_xlfn.XLOOKUP(IF(LEFT(UPPER(K312),4)="REV-","REV-"&amp;VALUE(MID(K312,5,99)),IF(LEN(K312)=5,LEFT(K312,2)&amp;"."&amp;RIGHT(K312,3),K312)),verfvoorraad!E:E,verfvoorraad!F:F),"Niet gevonden")))</f>
        <v/>
      </c>
      <c r="P312" t="str">
        <f>IF(K312="","",IFERROR(_xlfn.XLOOKUP(K312,verfvoorraad!C:C,verfvoorraad!G:G),IFERROR(_xlfn.XLOOKUP(IF(LEFT(UPPER(K312),4)="REV-","REV-"&amp;VALUE(MID(K312,5,99)),IF(LEN(K312)=5,LEFT(K312,2)&amp;"."&amp;RIGHT(K312,3),K312)),verfvoorraad!E:E,verfvoorraad!G:G),"Niet gevonden")))</f>
        <v/>
      </c>
      <c r="Q312" t="str">
        <f t="shared" si="8"/>
        <v/>
      </c>
      <c r="R312" t="str">
        <f t="shared" si="9"/>
        <v/>
      </c>
    </row>
    <row r="313" spans="6:18" x14ac:dyDescent="0.25">
      <c r="F313"/>
      <c r="G313" s="20"/>
      <c r="H313" s="21"/>
      <c r="K313" s="23"/>
      <c r="L313" t="str">
        <f>IF(K313="","",IFERROR(_xlfn.XLOOKUP(K313,verfvoorraad!C:C,verfvoorraad!B:B),IFERROR(_xlfn.XLOOKUP(IF(LEFT(UPPER(K313),4)="REV-","REV-"&amp;VALUE(MID(K313,5,99)),IF(LEN(K313)=5,LEFT(K313,2)&amp;"."&amp;RIGHT(K313,3),K313)),verfvoorraad!E:E,verfvoorraad!B:B),"Niet gevonden")))</f>
        <v/>
      </c>
      <c r="M313" t="str">
        <f>IF(K313="","",IFERROR(_xlfn.XLOOKUP(K313,verfvoorraad!C:C,verfvoorraad!D:D),IFERROR(_xlfn.XLOOKUP(IF(LEFT(UPPER(K313),4)="REV-","REV-"&amp;VALUE(MID(K313,5,99)),IF(LEN(K313)=5,LEFT(K313,2)&amp;"."&amp;RIGHT(K313,3),K313)),verfvoorraad!E:E,verfvoorraad!D:D),"Niet gevonden")))</f>
        <v/>
      </c>
      <c r="N313" t="str">
        <f>IF(K313="","",IFERROR(_xlfn.XLOOKUP(K313,verfvoorraad!C:C,verfvoorraad!E:E),IFERROR(_xlfn.XLOOKUP(IF(LEFT(UPPER(K313),4)="REV-","REV-"&amp;VALUE(MID(K313,5,99)),IF(LEN(K313)=5,LEFT(K313,2)&amp;"."&amp;RIGHT(K313,3),K313)),verfvoorraad!E:E,verfvoorraad!E:E),"Niet gevonden")))</f>
        <v/>
      </c>
      <c r="O313" t="str">
        <f>IF(K313="","",IFERROR(_xlfn.XLOOKUP(K313,verfvoorraad!C:C,verfvoorraad!F:F),IFERROR(_xlfn.XLOOKUP(IF(LEFT(UPPER(K313),4)="REV-","REV-"&amp;VALUE(MID(K313,5,99)),IF(LEN(K313)=5,LEFT(K313,2)&amp;"."&amp;RIGHT(K313,3),K313)),verfvoorraad!E:E,verfvoorraad!F:F),"Niet gevonden")))</f>
        <v/>
      </c>
      <c r="P313" t="str">
        <f>IF(K313="","",IFERROR(_xlfn.XLOOKUP(K313,verfvoorraad!C:C,verfvoorraad!G:G),IFERROR(_xlfn.XLOOKUP(IF(LEFT(UPPER(K313),4)="REV-","REV-"&amp;VALUE(MID(K313,5,99)),IF(LEN(K313)=5,LEFT(K313,2)&amp;"."&amp;RIGHT(K313,3),K313)),verfvoorraad!E:E,verfvoorraad!G:G),"Niet gevonden")))</f>
        <v/>
      </c>
      <c r="Q313" t="str">
        <f t="shared" si="8"/>
        <v/>
      </c>
      <c r="R313" t="str">
        <f t="shared" si="9"/>
        <v/>
      </c>
    </row>
    <row r="314" spans="6:18" x14ac:dyDescent="0.25">
      <c r="F314"/>
      <c r="G314" s="20"/>
      <c r="H314" s="21"/>
      <c r="K314" s="23"/>
      <c r="L314" t="str">
        <f>IF(K314="","",IFERROR(_xlfn.XLOOKUP(K314,verfvoorraad!C:C,verfvoorraad!B:B),IFERROR(_xlfn.XLOOKUP(IF(LEFT(UPPER(K314),4)="REV-","REV-"&amp;VALUE(MID(K314,5,99)),IF(LEN(K314)=5,LEFT(K314,2)&amp;"."&amp;RIGHT(K314,3),K314)),verfvoorraad!E:E,verfvoorraad!B:B),"Niet gevonden")))</f>
        <v/>
      </c>
      <c r="M314" t="str">
        <f>IF(K314="","",IFERROR(_xlfn.XLOOKUP(K314,verfvoorraad!C:C,verfvoorraad!D:D),IFERROR(_xlfn.XLOOKUP(IF(LEFT(UPPER(K314),4)="REV-","REV-"&amp;VALUE(MID(K314,5,99)),IF(LEN(K314)=5,LEFT(K314,2)&amp;"."&amp;RIGHT(K314,3),K314)),verfvoorraad!E:E,verfvoorraad!D:D),"Niet gevonden")))</f>
        <v/>
      </c>
      <c r="N314" t="str">
        <f>IF(K314="","",IFERROR(_xlfn.XLOOKUP(K314,verfvoorraad!C:C,verfvoorraad!E:E),IFERROR(_xlfn.XLOOKUP(IF(LEFT(UPPER(K314),4)="REV-","REV-"&amp;VALUE(MID(K314,5,99)),IF(LEN(K314)=5,LEFT(K314,2)&amp;"."&amp;RIGHT(K314,3),K314)),verfvoorraad!E:E,verfvoorraad!E:E),"Niet gevonden")))</f>
        <v/>
      </c>
      <c r="O314" t="str">
        <f>IF(K314="","",IFERROR(_xlfn.XLOOKUP(K314,verfvoorraad!C:C,verfvoorraad!F:F),IFERROR(_xlfn.XLOOKUP(IF(LEFT(UPPER(K314),4)="REV-","REV-"&amp;VALUE(MID(K314,5,99)),IF(LEN(K314)=5,LEFT(K314,2)&amp;"."&amp;RIGHT(K314,3),K314)),verfvoorraad!E:E,verfvoorraad!F:F),"Niet gevonden")))</f>
        <v/>
      </c>
      <c r="P314" t="str">
        <f>IF(K314="","",IFERROR(_xlfn.XLOOKUP(K314,verfvoorraad!C:C,verfvoorraad!G:G),IFERROR(_xlfn.XLOOKUP(IF(LEFT(UPPER(K314),4)="REV-","REV-"&amp;VALUE(MID(K314,5,99)),IF(LEN(K314)=5,LEFT(K314,2)&amp;"."&amp;RIGHT(K314,3),K314)),verfvoorraad!E:E,verfvoorraad!G:G),"Niet gevonden")))</f>
        <v/>
      </c>
      <c r="Q314" t="str">
        <f t="shared" si="8"/>
        <v/>
      </c>
      <c r="R314" t="str">
        <f t="shared" si="9"/>
        <v/>
      </c>
    </row>
    <row r="315" spans="6:18" x14ac:dyDescent="0.25">
      <c r="F315"/>
      <c r="G315" s="20"/>
      <c r="H315" s="21"/>
      <c r="K315" s="23"/>
      <c r="L315" t="str">
        <f>IF(K315="","",IFERROR(_xlfn.XLOOKUP(K315,verfvoorraad!C:C,verfvoorraad!B:B),IFERROR(_xlfn.XLOOKUP(IF(LEFT(UPPER(K315),4)="REV-","REV-"&amp;VALUE(MID(K315,5,99)),IF(LEN(K315)=5,LEFT(K315,2)&amp;"."&amp;RIGHT(K315,3),K315)),verfvoorraad!E:E,verfvoorraad!B:B),"Niet gevonden")))</f>
        <v/>
      </c>
      <c r="M315" t="str">
        <f>IF(K315="","",IFERROR(_xlfn.XLOOKUP(K315,verfvoorraad!C:C,verfvoorraad!D:D),IFERROR(_xlfn.XLOOKUP(IF(LEFT(UPPER(K315),4)="REV-","REV-"&amp;VALUE(MID(K315,5,99)),IF(LEN(K315)=5,LEFT(K315,2)&amp;"."&amp;RIGHT(K315,3),K315)),verfvoorraad!E:E,verfvoorraad!D:D),"Niet gevonden")))</f>
        <v/>
      </c>
      <c r="N315" t="str">
        <f>IF(K315="","",IFERROR(_xlfn.XLOOKUP(K315,verfvoorraad!C:C,verfvoorraad!E:E),IFERROR(_xlfn.XLOOKUP(IF(LEFT(UPPER(K315),4)="REV-","REV-"&amp;VALUE(MID(K315,5,99)),IF(LEN(K315)=5,LEFT(K315,2)&amp;"."&amp;RIGHT(K315,3),K315)),verfvoorraad!E:E,verfvoorraad!E:E),"Niet gevonden")))</f>
        <v/>
      </c>
      <c r="O315" t="str">
        <f>IF(K315="","",IFERROR(_xlfn.XLOOKUP(K315,verfvoorraad!C:C,verfvoorraad!F:F),IFERROR(_xlfn.XLOOKUP(IF(LEFT(UPPER(K315),4)="REV-","REV-"&amp;VALUE(MID(K315,5,99)),IF(LEN(K315)=5,LEFT(K315,2)&amp;"."&amp;RIGHT(K315,3),K315)),verfvoorraad!E:E,verfvoorraad!F:F),"Niet gevonden")))</f>
        <v/>
      </c>
      <c r="P315" t="str">
        <f>IF(K315="","",IFERROR(_xlfn.XLOOKUP(K315,verfvoorraad!C:C,verfvoorraad!G:G),IFERROR(_xlfn.XLOOKUP(IF(LEFT(UPPER(K315),4)="REV-","REV-"&amp;VALUE(MID(K315,5,99)),IF(LEN(K315)=5,LEFT(K315,2)&amp;"."&amp;RIGHT(K315,3),K315)),verfvoorraad!E:E,verfvoorraad!G:G),"Niet gevonden")))</f>
        <v/>
      </c>
      <c r="Q315" t="str">
        <f t="shared" si="8"/>
        <v/>
      </c>
      <c r="R315" t="str">
        <f t="shared" si="9"/>
        <v/>
      </c>
    </row>
    <row r="316" spans="6:18" x14ac:dyDescent="0.25">
      <c r="F316"/>
      <c r="G316" s="20"/>
      <c r="H316" s="21"/>
      <c r="K316" s="23"/>
      <c r="L316" t="str">
        <f>IF(K316="","",IFERROR(_xlfn.XLOOKUP(K316,verfvoorraad!C:C,verfvoorraad!B:B),IFERROR(_xlfn.XLOOKUP(IF(LEFT(UPPER(K316),4)="REV-","REV-"&amp;VALUE(MID(K316,5,99)),IF(LEN(K316)=5,LEFT(K316,2)&amp;"."&amp;RIGHT(K316,3),K316)),verfvoorraad!E:E,verfvoorraad!B:B),"Niet gevonden")))</f>
        <v/>
      </c>
      <c r="M316" t="str">
        <f>IF(K316="","",IFERROR(_xlfn.XLOOKUP(K316,verfvoorraad!C:C,verfvoorraad!D:D),IFERROR(_xlfn.XLOOKUP(IF(LEFT(UPPER(K316),4)="REV-","REV-"&amp;VALUE(MID(K316,5,99)),IF(LEN(K316)=5,LEFT(K316,2)&amp;"."&amp;RIGHT(K316,3),K316)),verfvoorraad!E:E,verfvoorraad!D:D),"Niet gevonden")))</f>
        <v/>
      </c>
      <c r="N316" t="str">
        <f>IF(K316="","",IFERROR(_xlfn.XLOOKUP(K316,verfvoorraad!C:C,verfvoorraad!E:E),IFERROR(_xlfn.XLOOKUP(IF(LEFT(UPPER(K316),4)="REV-","REV-"&amp;VALUE(MID(K316,5,99)),IF(LEN(K316)=5,LEFT(K316,2)&amp;"."&amp;RIGHT(K316,3),K316)),verfvoorraad!E:E,verfvoorraad!E:E),"Niet gevonden")))</f>
        <v/>
      </c>
      <c r="O316" t="str">
        <f>IF(K316="","",IFERROR(_xlfn.XLOOKUP(K316,verfvoorraad!C:C,verfvoorraad!F:F),IFERROR(_xlfn.XLOOKUP(IF(LEFT(UPPER(K316),4)="REV-","REV-"&amp;VALUE(MID(K316,5,99)),IF(LEN(K316)=5,LEFT(K316,2)&amp;"."&amp;RIGHT(K316,3),K316)),verfvoorraad!E:E,verfvoorraad!F:F),"Niet gevonden")))</f>
        <v/>
      </c>
      <c r="P316" t="str">
        <f>IF(K316="","",IFERROR(_xlfn.XLOOKUP(K316,verfvoorraad!C:C,verfvoorraad!G:G),IFERROR(_xlfn.XLOOKUP(IF(LEFT(UPPER(K316),4)="REV-","REV-"&amp;VALUE(MID(K316,5,99)),IF(LEN(K316)=5,LEFT(K316,2)&amp;"."&amp;RIGHT(K316,3),K316)),verfvoorraad!E:E,verfvoorraad!G:G),"Niet gevonden")))</f>
        <v/>
      </c>
      <c r="Q316" t="str">
        <f t="shared" si="8"/>
        <v/>
      </c>
      <c r="R316" t="str">
        <f t="shared" si="9"/>
        <v/>
      </c>
    </row>
    <row r="317" spans="6:18" x14ac:dyDescent="0.25">
      <c r="F317"/>
      <c r="G317" s="20"/>
      <c r="H317" s="21"/>
      <c r="K317" s="23"/>
      <c r="L317" t="str">
        <f>IF(K317="","",IFERROR(_xlfn.XLOOKUP(K317,verfvoorraad!C:C,verfvoorraad!B:B),IFERROR(_xlfn.XLOOKUP(IF(LEFT(UPPER(K317),4)="REV-","REV-"&amp;VALUE(MID(K317,5,99)),IF(LEN(K317)=5,LEFT(K317,2)&amp;"."&amp;RIGHT(K317,3),K317)),verfvoorraad!E:E,verfvoorraad!B:B),"Niet gevonden")))</f>
        <v/>
      </c>
      <c r="M317" t="str">
        <f>IF(K317="","",IFERROR(_xlfn.XLOOKUP(K317,verfvoorraad!C:C,verfvoorraad!D:D),IFERROR(_xlfn.XLOOKUP(IF(LEFT(UPPER(K317),4)="REV-","REV-"&amp;VALUE(MID(K317,5,99)),IF(LEN(K317)=5,LEFT(K317,2)&amp;"."&amp;RIGHT(K317,3),K317)),verfvoorraad!E:E,verfvoorraad!D:D),"Niet gevonden")))</f>
        <v/>
      </c>
      <c r="N317" t="str">
        <f>IF(K317="","",IFERROR(_xlfn.XLOOKUP(K317,verfvoorraad!C:C,verfvoorraad!E:E),IFERROR(_xlfn.XLOOKUP(IF(LEFT(UPPER(K317),4)="REV-","REV-"&amp;VALUE(MID(K317,5,99)),IF(LEN(K317)=5,LEFT(K317,2)&amp;"."&amp;RIGHT(K317,3),K317)),verfvoorraad!E:E,verfvoorraad!E:E),"Niet gevonden")))</f>
        <v/>
      </c>
      <c r="O317" t="str">
        <f>IF(K317="","",IFERROR(_xlfn.XLOOKUP(K317,verfvoorraad!C:C,verfvoorraad!F:F),IFERROR(_xlfn.XLOOKUP(IF(LEFT(UPPER(K317),4)="REV-","REV-"&amp;VALUE(MID(K317,5,99)),IF(LEN(K317)=5,LEFT(K317,2)&amp;"."&amp;RIGHT(K317,3),K317)),verfvoorraad!E:E,verfvoorraad!F:F),"Niet gevonden")))</f>
        <v/>
      </c>
      <c r="P317" t="str">
        <f>IF(K317="","",IFERROR(_xlfn.XLOOKUP(K317,verfvoorraad!C:C,verfvoorraad!G:G),IFERROR(_xlfn.XLOOKUP(IF(LEFT(UPPER(K317),4)="REV-","REV-"&amp;VALUE(MID(K317,5,99)),IF(LEN(K317)=5,LEFT(K317,2)&amp;"."&amp;RIGHT(K317,3),K317)),verfvoorraad!E:E,verfvoorraad!G:G),"Niet gevonden")))</f>
        <v/>
      </c>
      <c r="Q317" t="str">
        <f t="shared" si="8"/>
        <v/>
      </c>
      <c r="R317" t="str">
        <f t="shared" si="9"/>
        <v/>
      </c>
    </row>
    <row r="318" spans="6:18" x14ac:dyDescent="0.25">
      <c r="F318"/>
      <c r="G318" s="20"/>
      <c r="H318" s="21"/>
      <c r="K318" s="23"/>
      <c r="L318" t="str">
        <f>IF(K318="","",IFERROR(_xlfn.XLOOKUP(K318,verfvoorraad!C:C,verfvoorraad!B:B),IFERROR(_xlfn.XLOOKUP(IF(LEFT(UPPER(K318),4)="REV-","REV-"&amp;VALUE(MID(K318,5,99)),IF(LEN(K318)=5,LEFT(K318,2)&amp;"."&amp;RIGHT(K318,3),K318)),verfvoorraad!E:E,verfvoorraad!B:B),"Niet gevonden")))</f>
        <v/>
      </c>
      <c r="M318" t="str">
        <f>IF(K318="","",IFERROR(_xlfn.XLOOKUP(K318,verfvoorraad!C:C,verfvoorraad!D:D),IFERROR(_xlfn.XLOOKUP(IF(LEFT(UPPER(K318),4)="REV-","REV-"&amp;VALUE(MID(K318,5,99)),IF(LEN(K318)=5,LEFT(K318,2)&amp;"."&amp;RIGHT(K318,3),K318)),verfvoorraad!E:E,verfvoorraad!D:D),"Niet gevonden")))</f>
        <v/>
      </c>
      <c r="N318" t="str">
        <f>IF(K318="","",IFERROR(_xlfn.XLOOKUP(K318,verfvoorraad!C:C,verfvoorraad!E:E),IFERROR(_xlfn.XLOOKUP(IF(LEFT(UPPER(K318),4)="REV-","REV-"&amp;VALUE(MID(K318,5,99)),IF(LEN(K318)=5,LEFT(K318,2)&amp;"."&amp;RIGHT(K318,3),K318)),verfvoorraad!E:E,verfvoorraad!E:E),"Niet gevonden")))</f>
        <v/>
      </c>
      <c r="O318" t="str">
        <f>IF(K318="","",IFERROR(_xlfn.XLOOKUP(K318,verfvoorraad!C:C,verfvoorraad!F:F),IFERROR(_xlfn.XLOOKUP(IF(LEFT(UPPER(K318),4)="REV-","REV-"&amp;VALUE(MID(K318,5,99)),IF(LEN(K318)=5,LEFT(K318,2)&amp;"."&amp;RIGHT(K318,3),K318)),verfvoorraad!E:E,verfvoorraad!F:F),"Niet gevonden")))</f>
        <v/>
      </c>
      <c r="P318" t="str">
        <f>IF(K318="","",IFERROR(_xlfn.XLOOKUP(K318,verfvoorraad!C:C,verfvoorraad!G:G),IFERROR(_xlfn.XLOOKUP(IF(LEFT(UPPER(K318),4)="REV-","REV-"&amp;VALUE(MID(K318,5,99)),IF(LEN(K318)=5,LEFT(K318,2)&amp;"."&amp;RIGHT(K318,3),K318)),verfvoorraad!E:E,verfvoorraad!G:G),"Niet gevonden")))</f>
        <v/>
      </c>
      <c r="Q318" t="str">
        <f t="shared" si="8"/>
        <v/>
      </c>
      <c r="R318" t="str">
        <f t="shared" si="9"/>
        <v/>
      </c>
    </row>
    <row r="319" spans="6:18" x14ac:dyDescent="0.25">
      <c r="F319"/>
      <c r="G319" s="20"/>
      <c r="H319" s="21"/>
      <c r="K319" s="23"/>
      <c r="L319" t="str">
        <f>IF(K319="","",IFERROR(_xlfn.XLOOKUP(K319,verfvoorraad!C:C,verfvoorraad!B:B),IFERROR(_xlfn.XLOOKUP(IF(LEFT(UPPER(K319),4)="REV-","REV-"&amp;VALUE(MID(K319,5,99)),IF(LEN(K319)=5,LEFT(K319,2)&amp;"."&amp;RIGHT(K319,3),K319)),verfvoorraad!E:E,verfvoorraad!B:B),"Niet gevonden")))</f>
        <v/>
      </c>
      <c r="M319" t="str">
        <f>IF(K319="","",IFERROR(_xlfn.XLOOKUP(K319,verfvoorraad!C:C,verfvoorraad!D:D),IFERROR(_xlfn.XLOOKUP(IF(LEFT(UPPER(K319),4)="REV-","REV-"&amp;VALUE(MID(K319,5,99)),IF(LEN(K319)=5,LEFT(K319,2)&amp;"."&amp;RIGHT(K319,3),K319)),verfvoorraad!E:E,verfvoorraad!D:D),"Niet gevonden")))</f>
        <v/>
      </c>
      <c r="N319" t="str">
        <f>IF(K319="","",IFERROR(_xlfn.XLOOKUP(K319,verfvoorraad!C:C,verfvoorraad!E:E),IFERROR(_xlfn.XLOOKUP(IF(LEFT(UPPER(K319),4)="REV-","REV-"&amp;VALUE(MID(K319,5,99)),IF(LEN(K319)=5,LEFT(K319,2)&amp;"."&amp;RIGHT(K319,3),K319)),verfvoorraad!E:E,verfvoorraad!E:E),"Niet gevonden")))</f>
        <v/>
      </c>
      <c r="O319" t="str">
        <f>IF(K319="","",IFERROR(_xlfn.XLOOKUP(K319,verfvoorraad!C:C,verfvoorraad!F:F),IFERROR(_xlfn.XLOOKUP(IF(LEFT(UPPER(K319),4)="REV-","REV-"&amp;VALUE(MID(K319,5,99)),IF(LEN(K319)=5,LEFT(K319,2)&amp;"."&amp;RIGHT(K319,3),K319)),verfvoorraad!E:E,verfvoorraad!F:F),"Niet gevonden")))</f>
        <v/>
      </c>
      <c r="P319" t="str">
        <f>IF(K319="","",IFERROR(_xlfn.XLOOKUP(K319,verfvoorraad!C:C,verfvoorraad!G:G),IFERROR(_xlfn.XLOOKUP(IF(LEFT(UPPER(K319),4)="REV-","REV-"&amp;VALUE(MID(K319,5,99)),IF(LEN(K319)=5,LEFT(K319,2)&amp;"."&amp;RIGHT(K319,3),K319)),verfvoorraad!E:E,verfvoorraad!G:G),"Niet gevonden")))</f>
        <v/>
      </c>
      <c r="Q319" t="str">
        <f t="shared" si="8"/>
        <v/>
      </c>
      <c r="R319" t="str">
        <f t="shared" si="9"/>
        <v/>
      </c>
    </row>
    <row r="320" spans="6:18" x14ac:dyDescent="0.25">
      <c r="F320"/>
      <c r="G320" s="20"/>
      <c r="H320" s="21"/>
      <c r="K320" s="23"/>
      <c r="L320" t="str">
        <f>IF(K320="","",IFERROR(_xlfn.XLOOKUP(K320,verfvoorraad!C:C,verfvoorraad!B:B),IFERROR(_xlfn.XLOOKUP(IF(LEFT(UPPER(K320),4)="REV-","REV-"&amp;VALUE(MID(K320,5,99)),IF(LEN(K320)=5,LEFT(K320,2)&amp;"."&amp;RIGHT(K320,3),K320)),verfvoorraad!E:E,verfvoorraad!B:B),"Niet gevonden")))</f>
        <v/>
      </c>
      <c r="M320" t="str">
        <f>IF(K320="","",IFERROR(_xlfn.XLOOKUP(K320,verfvoorraad!C:C,verfvoorraad!D:D),IFERROR(_xlfn.XLOOKUP(IF(LEFT(UPPER(K320),4)="REV-","REV-"&amp;VALUE(MID(K320,5,99)),IF(LEN(K320)=5,LEFT(K320,2)&amp;"."&amp;RIGHT(K320,3),K320)),verfvoorraad!E:E,verfvoorraad!D:D),"Niet gevonden")))</f>
        <v/>
      </c>
      <c r="N320" t="str">
        <f>IF(K320="","",IFERROR(_xlfn.XLOOKUP(K320,verfvoorraad!C:C,verfvoorraad!E:E),IFERROR(_xlfn.XLOOKUP(IF(LEFT(UPPER(K320),4)="REV-","REV-"&amp;VALUE(MID(K320,5,99)),IF(LEN(K320)=5,LEFT(K320,2)&amp;"."&amp;RIGHT(K320,3),K320)),verfvoorraad!E:E,verfvoorraad!E:E),"Niet gevonden")))</f>
        <v/>
      </c>
      <c r="O320" t="str">
        <f>IF(K320="","",IFERROR(_xlfn.XLOOKUP(K320,verfvoorraad!C:C,verfvoorraad!F:F),IFERROR(_xlfn.XLOOKUP(IF(LEFT(UPPER(K320),4)="REV-","REV-"&amp;VALUE(MID(K320,5,99)),IF(LEN(K320)=5,LEFT(K320,2)&amp;"."&amp;RIGHT(K320,3),K320)),verfvoorraad!E:E,verfvoorraad!F:F),"Niet gevonden")))</f>
        <v/>
      </c>
      <c r="P320" t="str">
        <f>IF(K320="","",IFERROR(_xlfn.XLOOKUP(K320,verfvoorraad!C:C,verfvoorraad!G:G),IFERROR(_xlfn.XLOOKUP(IF(LEFT(UPPER(K320),4)="REV-","REV-"&amp;VALUE(MID(K320,5,99)),IF(LEN(K320)=5,LEFT(K320,2)&amp;"."&amp;RIGHT(K320,3),K320)),verfvoorraad!E:E,verfvoorraad!G:G),"Niet gevonden")))</f>
        <v/>
      </c>
      <c r="Q320" t="str">
        <f t="shared" si="8"/>
        <v/>
      </c>
      <c r="R320" t="str">
        <f t="shared" si="9"/>
        <v/>
      </c>
    </row>
    <row r="321" spans="6:18" x14ac:dyDescent="0.25">
      <c r="F321"/>
      <c r="G321" s="20"/>
      <c r="H321" s="21"/>
      <c r="K321" s="23"/>
      <c r="L321" t="str">
        <f>IF(K321="","",IFERROR(_xlfn.XLOOKUP(K321,verfvoorraad!C:C,verfvoorraad!B:B),IFERROR(_xlfn.XLOOKUP(IF(LEFT(UPPER(K321),4)="REV-","REV-"&amp;VALUE(MID(K321,5,99)),IF(LEN(K321)=5,LEFT(K321,2)&amp;"."&amp;RIGHT(K321,3),K321)),verfvoorraad!E:E,verfvoorraad!B:B),"Niet gevonden")))</f>
        <v/>
      </c>
      <c r="M321" t="str">
        <f>IF(K321="","",IFERROR(_xlfn.XLOOKUP(K321,verfvoorraad!C:C,verfvoorraad!D:D),IFERROR(_xlfn.XLOOKUP(IF(LEFT(UPPER(K321),4)="REV-","REV-"&amp;VALUE(MID(K321,5,99)),IF(LEN(K321)=5,LEFT(K321,2)&amp;"."&amp;RIGHT(K321,3),K321)),verfvoorraad!E:E,verfvoorraad!D:D),"Niet gevonden")))</f>
        <v/>
      </c>
      <c r="N321" t="str">
        <f>IF(K321="","",IFERROR(_xlfn.XLOOKUP(K321,verfvoorraad!C:C,verfvoorraad!E:E),IFERROR(_xlfn.XLOOKUP(IF(LEFT(UPPER(K321),4)="REV-","REV-"&amp;VALUE(MID(K321,5,99)),IF(LEN(K321)=5,LEFT(K321,2)&amp;"."&amp;RIGHT(K321,3),K321)),verfvoorraad!E:E,verfvoorraad!E:E),"Niet gevonden")))</f>
        <v/>
      </c>
      <c r="O321" t="str">
        <f>IF(K321="","",IFERROR(_xlfn.XLOOKUP(K321,verfvoorraad!C:C,verfvoorraad!F:F),IFERROR(_xlfn.XLOOKUP(IF(LEFT(UPPER(K321),4)="REV-","REV-"&amp;VALUE(MID(K321,5,99)),IF(LEN(K321)=5,LEFT(K321,2)&amp;"."&amp;RIGHT(K321,3),K321)),verfvoorraad!E:E,verfvoorraad!F:F),"Niet gevonden")))</f>
        <v/>
      </c>
      <c r="P321" t="str">
        <f>IF(K321="","",IFERROR(_xlfn.XLOOKUP(K321,verfvoorraad!C:C,verfvoorraad!G:G),IFERROR(_xlfn.XLOOKUP(IF(LEFT(UPPER(K321),4)="REV-","REV-"&amp;VALUE(MID(K321,5,99)),IF(LEN(K321)=5,LEFT(K321,2)&amp;"."&amp;RIGHT(K321,3),K321)),verfvoorraad!E:E,verfvoorraad!G:G),"Niet gevonden")))</f>
        <v/>
      </c>
      <c r="Q321" t="str">
        <f t="shared" si="8"/>
        <v/>
      </c>
      <c r="R321" t="str">
        <f t="shared" si="9"/>
        <v/>
      </c>
    </row>
    <row r="322" spans="6:18" x14ac:dyDescent="0.25">
      <c r="F322"/>
      <c r="G322" s="20"/>
      <c r="H322" s="21"/>
      <c r="K322" s="23"/>
      <c r="L322" t="str">
        <f>IF(K322="","",IFERROR(_xlfn.XLOOKUP(K322,verfvoorraad!C:C,verfvoorraad!B:B),IFERROR(_xlfn.XLOOKUP(IF(LEFT(UPPER(K322),4)="REV-","REV-"&amp;VALUE(MID(K322,5,99)),IF(LEN(K322)=5,LEFT(K322,2)&amp;"."&amp;RIGHT(K322,3),K322)),verfvoorraad!E:E,verfvoorraad!B:B),"Niet gevonden")))</f>
        <v/>
      </c>
      <c r="M322" t="str">
        <f>IF(K322="","",IFERROR(_xlfn.XLOOKUP(K322,verfvoorraad!C:C,verfvoorraad!D:D),IFERROR(_xlfn.XLOOKUP(IF(LEFT(UPPER(K322),4)="REV-","REV-"&amp;VALUE(MID(K322,5,99)),IF(LEN(K322)=5,LEFT(K322,2)&amp;"."&amp;RIGHT(K322,3),K322)),verfvoorraad!E:E,verfvoorraad!D:D),"Niet gevonden")))</f>
        <v/>
      </c>
      <c r="N322" t="str">
        <f>IF(K322="","",IFERROR(_xlfn.XLOOKUP(K322,verfvoorraad!C:C,verfvoorraad!E:E),IFERROR(_xlfn.XLOOKUP(IF(LEFT(UPPER(K322),4)="REV-","REV-"&amp;VALUE(MID(K322,5,99)),IF(LEN(K322)=5,LEFT(K322,2)&amp;"."&amp;RIGHT(K322,3),K322)),verfvoorraad!E:E,verfvoorraad!E:E),"Niet gevonden")))</f>
        <v/>
      </c>
      <c r="O322" t="str">
        <f>IF(K322="","",IFERROR(_xlfn.XLOOKUP(K322,verfvoorraad!C:C,verfvoorraad!F:F),IFERROR(_xlfn.XLOOKUP(IF(LEFT(UPPER(K322),4)="REV-","REV-"&amp;VALUE(MID(K322,5,99)),IF(LEN(K322)=5,LEFT(K322,2)&amp;"."&amp;RIGHT(K322,3),K322)),verfvoorraad!E:E,verfvoorraad!F:F),"Niet gevonden")))</f>
        <v/>
      </c>
      <c r="P322" t="str">
        <f>IF(K322="","",IFERROR(_xlfn.XLOOKUP(K322,verfvoorraad!C:C,verfvoorraad!G:G),IFERROR(_xlfn.XLOOKUP(IF(LEFT(UPPER(K322),4)="REV-","REV-"&amp;VALUE(MID(K322,5,99)),IF(LEN(K322)=5,LEFT(K322,2)&amp;"."&amp;RIGHT(K322,3),K322)),verfvoorraad!E:E,verfvoorraad!G:G),"Niet gevonden")))</f>
        <v/>
      </c>
      <c r="Q322" t="str">
        <f t="shared" si="8"/>
        <v/>
      </c>
      <c r="R322" t="str">
        <f t="shared" si="9"/>
        <v/>
      </c>
    </row>
    <row r="323" spans="6:18" x14ac:dyDescent="0.25">
      <c r="F323"/>
      <c r="G323" s="20"/>
      <c r="H323" s="21"/>
      <c r="K323" s="23"/>
      <c r="L323" t="str">
        <f>IF(K323="","",IFERROR(_xlfn.XLOOKUP(K323,verfvoorraad!C:C,verfvoorraad!B:B),IFERROR(_xlfn.XLOOKUP(IF(LEFT(UPPER(K323),4)="REV-","REV-"&amp;VALUE(MID(K323,5,99)),IF(LEN(K323)=5,LEFT(K323,2)&amp;"."&amp;RIGHT(K323,3),K323)),verfvoorraad!E:E,verfvoorraad!B:B),"Niet gevonden")))</f>
        <v/>
      </c>
      <c r="M323" t="str">
        <f>IF(K323="","",IFERROR(_xlfn.XLOOKUP(K323,verfvoorraad!C:C,verfvoorraad!D:D),IFERROR(_xlfn.XLOOKUP(IF(LEFT(UPPER(K323),4)="REV-","REV-"&amp;VALUE(MID(K323,5,99)),IF(LEN(K323)=5,LEFT(K323,2)&amp;"."&amp;RIGHT(K323,3),K323)),verfvoorraad!E:E,verfvoorraad!D:D),"Niet gevonden")))</f>
        <v/>
      </c>
      <c r="N323" t="str">
        <f>IF(K323="","",IFERROR(_xlfn.XLOOKUP(K323,verfvoorraad!C:C,verfvoorraad!E:E),IFERROR(_xlfn.XLOOKUP(IF(LEFT(UPPER(K323),4)="REV-","REV-"&amp;VALUE(MID(K323,5,99)),IF(LEN(K323)=5,LEFT(K323,2)&amp;"."&amp;RIGHT(K323,3),K323)),verfvoorraad!E:E,verfvoorraad!E:E),"Niet gevonden")))</f>
        <v/>
      </c>
      <c r="O323" t="str">
        <f>IF(K323="","",IFERROR(_xlfn.XLOOKUP(K323,verfvoorraad!C:C,verfvoorraad!F:F),IFERROR(_xlfn.XLOOKUP(IF(LEFT(UPPER(K323),4)="REV-","REV-"&amp;VALUE(MID(K323,5,99)),IF(LEN(K323)=5,LEFT(K323,2)&amp;"."&amp;RIGHT(K323,3),K323)),verfvoorraad!E:E,verfvoorraad!F:F),"Niet gevonden")))</f>
        <v/>
      </c>
      <c r="P323" t="str">
        <f>IF(K323="","",IFERROR(_xlfn.XLOOKUP(K323,verfvoorraad!C:C,verfvoorraad!G:G),IFERROR(_xlfn.XLOOKUP(IF(LEFT(UPPER(K323),4)="REV-","REV-"&amp;VALUE(MID(K323,5,99)),IF(LEN(K323)=5,LEFT(K323,2)&amp;"."&amp;RIGHT(K323,3),K323)),verfvoorraad!E:E,verfvoorraad!G:G),"Niet gevonden")))</f>
        <v/>
      </c>
      <c r="Q323" t="str">
        <f t="shared" si="8"/>
        <v/>
      </c>
      <c r="R323" t="str">
        <f t="shared" si="9"/>
        <v/>
      </c>
    </row>
    <row r="324" spans="6:18" x14ac:dyDescent="0.25">
      <c r="F324"/>
      <c r="G324" s="20"/>
      <c r="H324" s="21"/>
      <c r="K324" s="23"/>
      <c r="L324" t="str">
        <f>IF(K324="","",IFERROR(_xlfn.XLOOKUP(K324,verfvoorraad!C:C,verfvoorraad!B:B),IFERROR(_xlfn.XLOOKUP(IF(LEFT(UPPER(K324),4)="REV-","REV-"&amp;VALUE(MID(K324,5,99)),IF(LEN(K324)=5,LEFT(K324,2)&amp;"."&amp;RIGHT(K324,3),K324)),verfvoorraad!E:E,verfvoorraad!B:B),"Niet gevonden")))</f>
        <v/>
      </c>
      <c r="M324" t="str">
        <f>IF(K324="","",IFERROR(_xlfn.XLOOKUP(K324,verfvoorraad!C:C,verfvoorraad!D:D),IFERROR(_xlfn.XLOOKUP(IF(LEFT(UPPER(K324),4)="REV-","REV-"&amp;VALUE(MID(K324,5,99)),IF(LEN(K324)=5,LEFT(K324,2)&amp;"."&amp;RIGHT(K324,3),K324)),verfvoorraad!E:E,verfvoorraad!D:D),"Niet gevonden")))</f>
        <v/>
      </c>
      <c r="N324" t="str">
        <f>IF(K324="","",IFERROR(_xlfn.XLOOKUP(K324,verfvoorraad!C:C,verfvoorraad!E:E),IFERROR(_xlfn.XLOOKUP(IF(LEFT(UPPER(K324),4)="REV-","REV-"&amp;VALUE(MID(K324,5,99)),IF(LEN(K324)=5,LEFT(K324,2)&amp;"."&amp;RIGHT(K324,3),K324)),verfvoorraad!E:E,verfvoorraad!E:E),"Niet gevonden")))</f>
        <v/>
      </c>
      <c r="O324" t="str">
        <f>IF(K324="","",IFERROR(_xlfn.XLOOKUP(K324,verfvoorraad!C:C,verfvoorraad!F:F),IFERROR(_xlfn.XLOOKUP(IF(LEFT(UPPER(K324),4)="REV-","REV-"&amp;VALUE(MID(K324,5,99)),IF(LEN(K324)=5,LEFT(K324,2)&amp;"."&amp;RIGHT(K324,3),K324)),verfvoorraad!E:E,verfvoorraad!F:F),"Niet gevonden")))</f>
        <v/>
      </c>
      <c r="P324" t="str">
        <f>IF(K324="","",IFERROR(_xlfn.XLOOKUP(K324,verfvoorraad!C:C,verfvoorraad!G:G),IFERROR(_xlfn.XLOOKUP(IF(LEFT(UPPER(K324),4)="REV-","REV-"&amp;VALUE(MID(K324,5,99)),IF(LEN(K324)=5,LEFT(K324,2)&amp;"."&amp;RIGHT(K324,3),K324)),verfvoorraad!E:E,verfvoorraad!G:G),"Niet gevonden")))</f>
        <v/>
      </c>
      <c r="Q324" t="str">
        <f t="shared" si="8"/>
        <v/>
      </c>
      <c r="R324" t="str">
        <f t="shared" si="9"/>
        <v/>
      </c>
    </row>
    <row r="325" spans="6:18" x14ac:dyDescent="0.25">
      <c r="F325"/>
      <c r="G325" s="20"/>
      <c r="H325" s="21"/>
      <c r="K325" s="23"/>
      <c r="L325" t="str">
        <f>IF(K325="","",IFERROR(_xlfn.XLOOKUP(K325,verfvoorraad!C:C,verfvoorraad!B:B),IFERROR(_xlfn.XLOOKUP(IF(LEFT(UPPER(K325),4)="REV-","REV-"&amp;VALUE(MID(K325,5,99)),IF(LEN(K325)=5,LEFT(K325,2)&amp;"."&amp;RIGHT(K325,3),K325)),verfvoorraad!E:E,verfvoorraad!B:B),"Niet gevonden")))</f>
        <v/>
      </c>
      <c r="M325" t="str">
        <f>IF(K325="","",IFERROR(_xlfn.XLOOKUP(K325,verfvoorraad!C:C,verfvoorraad!D:D),IFERROR(_xlfn.XLOOKUP(IF(LEFT(UPPER(K325),4)="REV-","REV-"&amp;VALUE(MID(K325,5,99)),IF(LEN(K325)=5,LEFT(K325,2)&amp;"."&amp;RIGHT(K325,3),K325)),verfvoorraad!E:E,verfvoorraad!D:D),"Niet gevonden")))</f>
        <v/>
      </c>
      <c r="N325" t="str">
        <f>IF(K325="","",IFERROR(_xlfn.XLOOKUP(K325,verfvoorraad!C:C,verfvoorraad!E:E),IFERROR(_xlfn.XLOOKUP(IF(LEFT(UPPER(K325),4)="REV-","REV-"&amp;VALUE(MID(K325,5,99)),IF(LEN(K325)=5,LEFT(K325,2)&amp;"."&amp;RIGHT(K325,3),K325)),verfvoorraad!E:E,verfvoorraad!E:E),"Niet gevonden")))</f>
        <v/>
      </c>
      <c r="O325" t="str">
        <f>IF(K325="","",IFERROR(_xlfn.XLOOKUP(K325,verfvoorraad!C:C,verfvoorraad!F:F),IFERROR(_xlfn.XLOOKUP(IF(LEFT(UPPER(K325),4)="REV-","REV-"&amp;VALUE(MID(K325,5,99)),IF(LEN(K325)=5,LEFT(K325,2)&amp;"."&amp;RIGHT(K325,3),K325)),verfvoorraad!E:E,verfvoorraad!F:F),"Niet gevonden")))</f>
        <v/>
      </c>
      <c r="P325" t="str">
        <f>IF(K325="","",IFERROR(_xlfn.XLOOKUP(K325,verfvoorraad!C:C,verfvoorraad!G:G),IFERROR(_xlfn.XLOOKUP(IF(LEFT(UPPER(K325),4)="REV-","REV-"&amp;VALUE(MID(K325,5,99)),IF(LEN(K325)=5,LEFT(K325,2)&amp;"."&amp;RIGHT(K325,3),K325)),verfvoorraad!E:E,verfvoorraad!G:G),"Niet gevonden")))</f>
        <v/>
      </c>
      <c r="Q325" t="str">
        <f t="shared" si="8"/>
        <v/>
      </c>
      <c r="R325" t="str">
        <f t="shared" si="9"/>
        <v/>
      </c>
    </row>
    <row r="326" spans="6:18" x14ac:dyDescent="0.25">
      <c r="F326"/>
      <c r="G326" s="20"/>
      <c r="H326" s="21"/>
      <c r="K326" s="23"/>
      <c r="L326" t="str">
        <f>IF(K326="","",IFERROR(_xlfn.XLOOKUP(K326,verfvoorraad!C:C,verfvoorraad!B:B),IFERROR(_xlfn.XLOOKUP(IF(LEFT(UPPER(K326),4)="REV-","REV-"&amp;VALUE(MID(K326,5,99)),IF(LEN(K326)=5,LEFT(K326,2)&amp;"."&amp;RIGHT(K326,3),K326)),verfvoorraad!E:E,verfvoorraad!B:B),"Niet gevonden")))</f>
        <v/>
      </c>
      <c r="M326" t="str">
        <f>IF(K326="","",IFERROR(_xlfn.XLOOKUP(K326,verfvoorraad!C:C,verfvoorraad!D:D),IFERROR(_xlfn.XLOOKUP(IF(LEFT(UPPER(K326),4)="REV-","REV-"&amp;VALUE(MID(K326,5,99)),IF(LEN(K326)=5,LEFT(K326,2)&amp;"."&amp;RIGHT(K326,3),K326)),verfvoorraad!E:E,verfvoorraad!D:D),"Niet gevonden")))</f>
        <v/>
      </c>
      <c r="N326" t="str">
        <f>IF(K326="","",IFERROR(_xlfn.XLOOKUP(K326,verfvoorraad!C:C,verfvoorraad!E:E),IFERROR(_xlfn.XLOOKUP(IF(LEFT(UPPER(K326),4)="REV-","REV-"&amp;VALUE(MID(K326,5,99)),IF(LEN(K326)=5,LEFT(K326,2)&amp;"."&amp;RIGHT(K326,3),K326)),verfvoorraad!E:E,verfvoorraad!E:E),"Niet gevonden")))</f>
        <v/>
      </c>
      <c r="O326" t="str">
        <f>IF(K326="","",IFERROR(_xlfn.XLOOKUP(K326,verfvoorraad!C:C,verfvoorraad!F:F),IFERROR(_xlfn.XLOOKUP(IF(LEFT(UPPER(K326),4)="REV-","REV-"&amp;VALUE(MID(K326,5,99)),IF(LEN(K326)=5,LEFT(K326,2)&amp;"."&amp;RIGHT(K326,3),K326)),verfvoorraad!E:E,verfvoorraad!F:F),"Niet gevonden")))</f>
        <v/>
      </c>
      <c r="P326" t="str">
        <f>IF(K326="","",IFERROR(_xlfn.XLOOKUP(K326,verfvoorraad!C:C,verfvoorraad!G:G),IFERROR(_xlfn.XLOOKUP(IF(LEFT(UPPER(K326),4)="REV-","REV-"&amp;VALUE(MID(K326,5,99)),IF(LEN(K326)=5,LEFT(K326,2)&amp;"."&amp;RIGHT(K326,3),K326)),verfvoorraad!E:E,verfvoorraad!G:G),"Niet gevonden")))</f>
        <v/>
      </c>
      <c r="Q326" t="str">
        <f t="shared" si="8"/>
        <v/>
      </c>
      <c r="R326" t="str">
        <f t="shared" si="9"/>
        <v/>
      </c>
    </row>
    <row r="327" spans="6:18" x14ac:dyDescent="0.25">
      <c r="F327"/>
      <c r="G327" s="20"/>
      <c r="H327" s="21"/>
      <c r="K327" s="23"/>
      <c r="L327" t="str">
        <f>IF(K327="","",IFERROR(_xlfn.XLOOKUP(K327,verfvoorraad!C:C,verfvoorraad!B:B),IFERROR(_xlfn.XLOOKUP(IF(LEFT(UPPER(K327),4)="REV-","REV-"&amp;VALUE(MID(K327,5,99)),IF(LEN(K327)=5,LEFT(K327,2)&amp;"."&amp;RIGHT(K327,3),K327)),verfvoorraad!E:E,verfvoorraad!B:B),"Niet gevonden")))</f>
        <v/>
      </c>
      <c r="M327" t="str">
        <f>IF(K327="","",IFERROR(_xlfn.XLOOKUP(K327,verfvoorraad!C:C,verfvoorraad!D:D),IFERROR(_xlfn.XLOOKUP(IF(LEFT(UPPER(K327),4)="REV-","REV-"&amp;VALUE(MID(K327,5,99)),IF(LEN(K327)=5,LEFT(K327,2)&amp;"."&amp;RIGHT(K327,3),K327)),verfvoorraad!E:E,verfvoorraad!D:D),"Niet gevonden")))</f>
        <v/>
      </c>
      <c r="N327" t="str">
        <f>IF(K327="","",IFERROR(_xlfn.XLOOKUP(K327,verfvoorraad!C:C,verfvoorraad!E:E),IFERROR(_xlfn.XLOOKUP(IF(LEFT(UPPER(K327),4)="REV-","REV-"&amp;VALUE(MID(K327,5,99)),IF(LEN(K327)=5,LEFT(K327,2)&amp;"."&amp;RIGHT(K327,3),K327)),verfvoorraad!E:E,verfvoorraad!E:E),"Niet gevonden")))</f>
        <v/>
      </c>
      <c r="O327" t="str">
        <f>IF(K327="","",IFERROR(_xlfn.XLOOKUP(K327,verfvoorraad!C:C,verfvoorraad!F:F),IFERROR(_xlfn.XLOOKUP(IF(LEFT(UPPER(K327),4)="REV-","REV-"&amp;VALUE(MID(K327,5,99)),IF(LEN(K327)=5,LEFT(K327,2)&amp;"."&amp;RIGHT(K327,3),K327)),verfvoorraad!E:E,verfvoorraad!F:F),"Niet gevonden")))</f>
        <v/>
      </c>
      <c r="P327" t="str">
        <f>IF(K327="","",IFERROR(_xlfn.XLOOKUP(K327,verfvoorraad!C:C,verfvoorraad!G:G),IFERROR(_xlfn.XLOOKUP(IF(LEFT(UPPER(K327),4)="REV-","REV-"&amp;VALUE(MID(K327,5,99)),IF(LEN(K327)=5,LEFT(K327,2)&amp;"."&amp;RIGHT(K327,3),K327)),verfvoorraad!E:E,verfvoorraad!G:G),"Niet gevonden")))</f>
        <v/>
      </c>
      <c r="Q327" t="str">
        <f t="shared" si="8"/>
        <v/>
      </c>
      <c r="R327" t="str">
        <f t="shared" si="9"/>
        <v/>
      </c>
    </row>
    <row r="328" spans="6:18" x14ac:dyDescent="0.25">
      <c r="F328"/>
      <c r="G328" s="20"/>
      <c r="H328" s="21"/>
      <c r="K328" s="23"/>
      <c r="L328" t="str">
        <f>IF(K328="","",IFERROR(_xlfn.XLOOKUP(K328,verfvoorraad!C:C,verfvoorraad!B:B),IFERROR(_xlfn.XLOOKUP(IF(LEFT(UPPER(K328),4)="REV-","REV-"&amp;VALUE(MID(K328,5,99)),IF(LEN(K328)=5,LEFT(K328,2)&amp;"."&amp;RIGHT(K328,3),K328)),verfvoorraad!E:E,verfvoorraad!B:B),"Niet gevonden")))</f>
        <v/>
      </c>
      <c r="M328" t="str">
        <f>IF(K328="","",IFERROR(_xlfn.XLOOKUP(K328,verfvoorraad!C:C,verfvoorraad!D:D),IFERROR(_xlfn.XLOOKUP(IF(LEFT(UPPER(K328),4)="REV-","REV-"&amp;VALUE(MID(K328,5,99)),IF(LEN(K328)=5,LEFT(K328,2)&amp;"."&amp;RIGHT(K328,3),K328)),verfvoorraad!E:E,verfvoorraad!D:D),"Niet gevonden")))</f>
        <v/>
      </c>
      <c r="N328" t="str">
        <f>IF(K328="","",IFERROR(_xlfn.XLOOKUP(K328,verfvoorraad!C:C,verfvoorraad!E:E),IFERROR(_xlfn.XLOOKUP(IF(LEFT(UPPER(K328),4)="REV-","REV-"&amp;VALUE(MID(K328,5,99)),IF(LEN(K328)=5,LEFT(K328,2)&amp;"."&amp;RIGHT(K328,3),K328)),verfvoorraad!E:E,verfvoorraad!E:E),"Niet gevonden")))</f>
        <v/>
      </c>
      <c r="O328" t="str">
        <f>IF(K328="","",IFERROR(_xlfn.XLOOKUP(K328,verfvoorraad!C:C,verfvoorraad!F:F),IFERROR(_xlfn.XLOOKUP(IF(LEFT(UPPER(K328),4)="REV-","REV-"&amp;VALUE(MID(K328,5,99)),IF(LEN(K328)=5,LEFT(K328,2)&amp;"."&amp;RIGHT(K328,3),K328)),verfvoorraad!E:E,verfvoorraad!F:F),"Niet gevonden")))</f>
        <v/>
      </c>
      <c r="P328" t="str">
        <f>IF(K328="","",IFERROR(_xlfn.XLOOKUP(K328,verfvoorraad!C:C,verfvoorraad!G:G),IFERROR(_xlfn.XLOOKUP(IF(LEFT(UPPER(K328),4)="REV-","REV-"&amp;VALUE(MID(K328,5,99)),IF(LEN(K328)=5,LEFT(K328,2)&amp;"."&amp;RIGHT(K328,3),K328)),verfvoorraad!E:E,verfvoorraad!G:G),"Niet gevonden")))</f>
        <v/>
      </c>
      <c r="Q328" t="str">
        <f t="shared" si="8"/>
        <v/>
      </c>
      <c r="R328" t="str">
        <f t="shared" si="9"/>
        <v/>
      </c>
    </row>
    <row r="329" spans="6:18" x14ac:dyDescent="0.25">
      <c r="F329"/>
      <c r="G329" s="20"/>
      <c r="H329" s="21"/>
      <c r="K329" s="23"/>
      <c r="L329" t="str">
        <f>IF(K329="","",IFERROR(_xlfn.XLOOKUP(K329,verfvoorraad!C:C,verfvoorraad!B:B),IFERROR(_xlfn.XLOOKUP(IF(LEFT(UPPER(K329),4)="REV-","REV-"&amp;VALUE(MID(K329,5,99)),IF(LEN(K329)=5,LEFT(K329,2)&amp;"."&amp;RIGHT(K329,3),K329)),verfvoorraad!E:E,verfvoorraad!B:B),"Niet gevonden")))</f>
        <v/>
      </c>
      <c r="M329" t="str">
        <f>IF(K329="","",IFERROR(_xlfn.XLOOKUP(K329,verfvoorraad!C:C,verfvoorraad!D:D),IFERROR(_xlfn.XLOOKUP(IF(LEFT(UPPER(K329),4)="REV-","REV-"&amp;VALUE(MID(K329,5,99)),IF(LEN(K329)=5,LEFT(K329,2)&amp;"."&amp;RIGHT(K329,3),K329)),verfvoorraad!E:E,verfvoorraad!D:D),"Niet gevonden")))</f>
        <v/>
      </c>
      <c r="N329" t="str">
        <f>IF(K329="","",IFERROR(_xlfn.XLOOKUP(K329,verfvoorraad!C:C,verfvoorraad!E:E),IFERROR(_xlfn.XLOOKUP(IF(LEFT(UPPER(K329),4)="REV-","REV-"&amp;VALUE(MID(K329,5,99)),IF(LEN(K329)=5,LEFT(K329,2)&amp;"."&amp;RIGHT(K329,3),K329)),verfvoorraad!E:E,verfvoorraad!E:E),"Niet gevonden")))</f>
        <v/>
      </c>
      <c r="O329" t="str">
        <f>IF(K329="","",IFERROR(_xlfn.XLOOKUP(K329,verfvoorraad!C:C,verfvoorraad!F:F),IFERROR(_xlfn.XLOOKUP(IF(LEFT(UPPER(K329),4)="REV-","REV-"&amp;VALUE(MID(K329,5,99)),IF(LEN(K329)=5,LEFT(K329,2)&amp;"."&amp;RIGHT(K329,3),K329)),verfvoorraad!E:E,verfvoorraad!F:F),"Niet gevonden")))</f>
        <v/>
      </c>
      <c r="P329" t="str">
        <f>IF(K329="","",IFERROR(_xlfn.XLOOKUP(K329,verfvoorraad!C:C,verfvoorraad!G:G),IFERROR(_xlfn.XLOOKUP(IF(LEFT(UPPER(K329),4)="REV-","REV-"&amp;VALUE(MID(K329,5,99)),IF(LEN(K329)=5,LEFT(K329,2)&amp;"."&amp;RIGHT(K329,3),K329)),verfvoorraad!E:E,verfvoorraad!G:G),"Niet gevonden")))</f>
        <v/>
      </c>
      <c r="Q329" t="str">
        <f t="shared" si="8"/>
        <v/>
      </c>
      <c r="R329" t="str">
        <f t="shared" si="9"/>
        <v/>
      </c>
    </row>
    <row r="330" spans="6:18" x14ac:dyDescent="0.25">
      <c r="F330"/>
      <c r="G330" s="20"/>
      <c r="H330" s="21"/>
      <c r="K330" s="23"/>
      <c r="L330" t="str">
        <f>IF(K330="","",IFERROR(_xlfn.XLOOKUP(K330,verfvoorraad!C:C,verfvoorraad!B:B),IFERROR(_xlfn.XLOOKUP(IF(LEFT(UPPER(K330),4)="REV-","REV-"&amp;VALUE(MID(K330,5,99)),IF(LEN(K330)=5,LEFT(K330,2)&amp;"."&amp;RIGHT(K330,3),K330)),verfvoorraad!E:E,verfvoorraad!B:B),"Niet gevonden")))</f>
        <v/>
      </c>
      <c r="M330" t="str">
        <f>IF(K330="","",IFERROR(_xlfn.XLOOKUP(K330,verfvoorraad!C:C,verfvoorraad!D:D),IFERROR(_xlfn.XLOOKUP(IF(LEFT(UPPER(K330),4)="REV-","REV-"&amp;VALUE(MID(K330,5,99)),IF(LEN(K330)=5,LEFT(K330,2)&amp;"."&amp;RIGHT(K330,3),K330)),verfvoorraad!E:E,verfvoorraad!D:D),"Niet gevonden")))</f>
        <v/>
      </c>
      <c r="N330" t="str">
        <f>IF(K330="","",IFERROR(_xlfn.XLOOKUP(K330,verfvoorraad!C:C,verfvoorraad!E:E),IFERROR(_xlfn.XLOOKUP(IF(LEFT(UPPER(K330),4)="REV-","REV-"&amp;VALUE(MID(K330,5,99)),IF(LEN(K330)=5,LEFT(K330,2)&amp;"."&amp;RIGHT(K330,3),K330)),verfvoorraad!E:E,verfvoorraad!E:E),"Niet gevonden")))</f>
        <v/>
      </c>
      <c r="O330" t="str">
        <f>IF(K330="","",IFERROR(_xlfn.XLOOKUP(K330,verfvoorraad!C:C,verfvoorraad!F:F),IFERROR(_xlfn.XLOOKUP(IF(LEFT(UPPER(K330),4)="REV-","REV-"&amp;VALUE(MID(K330,5,99)),IF(LEN(K330)=5,LEFT(K330,2)&amp;"."&amp;RIGHT(K330,3),K330)),verfvoorraad!E:E,verfvoorraad!F:F),"Niet gevonden")))</f>
        <v/>
      </c>
      <c r="P330" t="str">
        <f>IF(K330="","",IFERROR(_xlfn.XLOOKUP(K330,verfvoorraad!C:C,verfvoorraad!G:G),IFERROR(_xlfn.XLOOKUP(IF(LEFT(UPPER(K330),4)="REV-","REV-"&amp;VALUE(MID(K330,5,99)),IF(LEN(K330)=5,LEFT(K330,2)&amp;"."&amp;RIGHT(K330,3),K330)),verfvoorraad!E:E,verfvoorraad!G:G),"Niet gevonden")))</f>
        <v/>
      </c>
      <c r="Q330" t="str">
        <f t="shared" si="8"/>
        <v/>
      </c>
      <c r="R330" t="str">
        <f t="shared" si="9"/>
        <v/>
      </c>
    </row>
    <row r="331" spans="6:18" x14ac:dyDescent="0.25">
      <c r="F331"/>
      <c r="G331" s="20"/>
      <c r="H331" s="21"/>
      <c r="K331" s="23"/>
      <c r="L331" t="str">
        <f>IF(K331="","",IFERROR(_xlfn.XLOOKUP(K331,verfvoorraad!C:C,verfvoorraad!B:B),IFERROR(_xlfn.XLOOKUP(IF(LEFT(UPPER(K331),4)="REV-","REV-"&amp;VALUE(MID(K331,5,99)),IF(LEN(K331)=5,LEFT(K331,2)&amp;"."&amp;RIGHT(K331,3),K331)),verfvoorraad!E:E,verfvoorraad!B:B),"Niet gevonden")))</f>
        <v/>
      </c>
      <c r="M331" t="str">
        <f>IF(K331="","",IFERROR(_xlfn.XLOOKUP(K331,verfvoorraad!C:C,verfvoorraad!D:D),IFERROR(_xlfn.XLOOKUP(IF(LEFT(UPPER(K331),4)="REV-","REV-"&amp;VALUE(MID(K331,5,99)),IF(LEN(K331)=5,LEFT(K331,2)&amp;"."&amp;RIGHT(K331,3),K331)),verfvoorraad!E:E,verfvoorraad!D:D),"Niet gevonden")))</f>
        <v/>
      </c>
      <c r="N331" t="str">
        <f>IF(K331="","",IFERROR(_xlfn.XLOOKUP(K331,verfvoorraad!C:C,verfvoorraad!E:E),IFERROR(_xlfn.XLOOKUP(IF(LEFT(UPPER(K331),4)="REV-","REV-"&amp;VALUE(MID(K331,5,99)),IF(LEN(K331)=5,LEFT(K331,2)&amp;"."&amp;RIGHT(K331,3),K331)),verfvoorraad!E:E,verfvoorraad!E:E),"Niet gevonden")))</f>
        <v/>
      </c>
      <c r="O331" t="str">
        <f>IF(K331="","",IFERROR(_xlfn.XLOOKUP(K331,verfvoorraad!C:C,verfvoorraad!F:F),IFERROR(_xlfn.XLOOKUP(IF(LEFT(UPPER(K331),4)="REV-","REV-"&amp;VALUE(MID(K331,5,99)),IF(LEN(K331)=5,LEFT(K331,2)&amp;"."&amp;RIGHT(K331,3),K331)),verfvoorraad!E:E,verfvoorraad!F:F),"Niet gevonden")))</f>
        <v/>
      </c>
      <c r="P331" t="str">
        <f>IF(K331="","",IFERROR(_xlfn.XLOOKUP(K331,verfvoorraad!C:C,verfvoorraad!G:G),IFERROR(_xlfn.XLOOKUP(IF(LEFT(UPPER(K331),4)="REV-","REV-"&amp;VALUE(MID(K331,5,99)),IF(LEN(K331)=5,LEFT(K331,2)&amp;"."&amp;RIGHT(K331,3),K331)),verfvoorraad!E:E,verfvoorraad!G:G),"Niet gevonden")))</f>
        <v/>
      </c>
      <c r="Q331" t="str">
        <f t="shared" si="8"/>
        <v/>
      </c>
      <c r="R331" t="str">
        <f t="shared" si="9"/>
        <v/>
      </c>
    </row>
    <row r="332" spans="6:18" x14ac:dyDescent="0.25">
      <c r="F332"/>
      <c r="G332" s="20"/>
      <c r="H332" s="21"/>
      <c r="K332" s="23"/>
      <c r="L332" t="str">
        <f>IF(K332="","",IFERROR(_xlfn.XLOOKUP(K332,verfvoorraad!C:C,verfvoorraad!B:B),IFERROR(_xlfn.XLOOKUP(IF(LEFT(UPPER(K332),4)="REV-","REV-"&amp;VALUE(MID(K332,5,99)),IF(LEN(K332)=5,LEFT(K332,2)&amp;"."&amp;RIGHT(K332,3),K332)),verfvoorraad!E:E,verfvoorraad!B:B),"Niet gevonden")))</f>
        <v/>
      </c>
      <c r="M332" t="str">
        <f>IF(K332="","",IFERROR(_xlfn.XLOOKUP(K332,verfvoorraad!C:C,verfvoorraad!D:D),IFERROR(_xlfn.XLOOKUP(IF(LEFT(UPPER(K332),4)="REV-","REV-"&amp;VALUE(MID(K332,5,99)),IF(LEN(K332)=5,LEFT(K332,2)&amp;"."&amp;RIGHT(K332,3),K332)),verfvoorraad!E:E,verfvoorraad!D:D),"Niet gevonden")))</f>
        <v/>
      </c>
      <c r="N332" t="str">
        <f>IF(K332="","",IFERROR(_xlfn.XLOOKUP(K332,verfvoorraad!C:C,verfvoorraad!E:E),IFERROR(_xlfn.XLOOKUP(IF(LEFT(UPPER(K332),4)="REV-","REV-"&amp;VALUE(MID(K332,5,99)),IF(LEN(K332)=5,LEFT(K332,2)&amp;"."&amp;RIGHT(K332,3),K332)),verfvoorraad!E:E,verfvoorraad!E:E),"Niet gevonden")))</f>
        <v/>
      </c>
      <c r="O332" t="str">
        <f>IF(K332="","",IFERROR(_xlfn.XLOOKUP(K332,verfvoorraad!C:C,verfvoorraad!F:F),IFERROR(_xlfn.XLOOKUP(IF(LEFT(UPPER(K332),4)="REV-","REV-"&amp;VALUE(MID(K332,5,99)),IF(LEN(K332)=5,LEFT(K332,2)&amp;"."&amp;RIGHT(K332,3),K332)),verfvoorraad!E:E,verfvoorraad!F:F),"Niet gevonden")))</f>
        <v/>
      </c>
      <c r="P332" t="str">
        <f>IF(K332="","",IFERROR(_xlfn.XLOOKUP(K332,verfvoorraad!C:C,verfvoorraad!G:G),IFERROR(_xlfn.XLOOKUP(IF(LEFT(UPPER(K332),4)="REV-","REV-"&amp;VALUE(MID(K332,5,99)),IF(LEN(K332)=5,LEFT(K332,2)&amp;"."&amp;RIGHT(K332,3),K332)),verfvoorraad!E:E,verfvoorraad!G:G),"Niet gevonden")))</f>
        <v/>
      </c>
      <c r="Q332" t="str">
        <f t="shared" si="8"/>
        <v/>
      </c>
      <c r="R332" t="str">
        <f t="shared" si="9"/>
        <v/>
      </c>
    </row>
    <row r="333" spans="6:18" x14ac:dyDescent="0.25">
      <c r="F333"/>
      <c r="G333" s="20"/>
      <c r="H333" s="21"/>
      <c r="K333" s="23"/>
      <c r="L333" t="str">
        <f>IF(K333="","",IFERROR(_xlfn.XLOOKUP(K333,verfvoorraad!C:C,verfvoorraad!B:B),IFERROR(_xlfn.XLOOKUP(IF(LEFT(UPPER(K333),4)="REV-","REV-"&amp;VALUE(MID(K333,5,99)),IF(LEN(K333)=5,LEFT(K333,2)&amp;"."&amp;RIGHT(K333,3),K333)),verfvoorraad!E:E,verfvoorraad!B:B),"Niet gevonden")))</f>
        <v/>
      </c>
      <c r="M333" t="str">
        <f>IF(K333="","",IFERROR(_xlfn.XLOOKUP(K333,verfvoorraad!C:C,verfvoorraad!D:D),IFERROR(_xlfn.XLOOKUP(IF(LEFT(UPPER(K333),4)="REV-","REV-"&amp;VALUE(MID(K333,5,99)),IF(LEN(K333)=5,LEFT(K333,2)&amp;"."&amp;RIGHT(K333,3),K333)),verfvoorraad!E:E,verfvoorraad!D:D),"Niet gevonden")))</f>
        <v/>
      </c>
      <c r="N333" t="str">
        <f>IF(K333="","",IFERROR(_xlfn.XLOOKUP(K333,verfvoorraad!C:C,verfvoorraad!E:E),IFERROR(_xlfn.XLOOKUP(IF(LEFT(UPPER(K333),4)="REV-","REV-"&amp;VALUE(MID(K333,5,99)),IF(LEN(K333)=5,LEFT(K333,2)&amp;"."&amp;RIGHT(K333,3),K333)),verfvoorraad!E:E,verfvoorraad!E:E),"Niet gevonden")))</f>
        <v/>
      </c>
      <c r="O333" t="str">
        <f>IF(K333="","",IFERROR(_xlfn.XLOOKUP(K333,verfvoorraad!C:C,verfvoorraad!F:F),IFERROR(_xlfn.XLOOKUP(IF(LEFT(UPPER(K333),4)="REV-","REV-"&amp;VALUE(MID(K333,5,99)),IF(LEN(K333)=5,LEFT(K333,2)&amp;"."&amp;RIGHT(K333,3),K333)),verfvoorraad!E:E,verfvoorraad!F:F),"Niet gevonden")))</f>
        <v/>
      </c>
      <c r="P333" t="str">
        <f>IF(K333="","",IFERROR(_xlfn.XLOOKUP(K333,verfvoorraad!C:C,verfvoorraad!G:G),IFERROR(_xlfn.XLOOKUP(IF(LEFT(UPPER(K333),4)="REV-","REV-"&amp;VALUE(MID(K333,5,99)),IF(LEN(K333)=5,LEFT(K333,2)&amp;"."&amp;RIGHT(K333,3),K333)),verfvoorraad!E:E,verfvoorraad!G:G),"Niet gevonden")))</f>
        <v/>
      </c>
      <c r="Q333" t="str">
        <f t="shared" si="8"/>
        <v/>
      </c>
      <c r="R333" t="str">
        <f t="shared" si="9"/>
        <v/>
      </c>
    </row>
    <row r="334" spans="6:18" x14ac:dyDescent="0.25">
      <c r="F334"/>
      <c r="G334" s="20"/>
      <c r="H334" s="21"/>
      <c r="K334" s="23"/>
      <c r="L334" t="str">
        <f>IF(K334="","",IFERROR(_xlfn.XLOOKUP(K334,verfvoorraad!C:C,verfvoorraad!B:B),IFERROR(_xlfn.XLOOKUP(IF(LEFT(UPPER(K334),4)="REV-","REV-"&amp;VALUE(MID(K334,5,99)),IF(LEN(K334)=5,LEFT(K334,2)&amp;"."&amp;RIGHT(K334,3),K334)),verfvoorraad!E:E,verfvoorraad!B:B),"Niet gevonden")))</f>
        <v/>
      </c>
      <c r="M334" t="str">
        <f>IF(K334="","",IFERROR(_xlfn.XLOOKUP(K334,verfvoorraad!C:C,verfvoorraad!D:D),IFERROR(_xlfn.XLOOKUP(IF(LEFT(UPPER(K334),4)="REV-","REV-"&amp;VALUE(MID(K334,5,99)),IF(LEN(K334)=5,LEFT(K334,2)&amp;"."&amp;RIGHT(K334,3),K334)),verfvoorraad!E:E,verfvoorraad!D:D),"Niet gevonden")))</f>
        <v/>
      </c>
      <c r="N334" t="str">
        <f>IF(K334="","",IFERROR(_xlfn.XLOOKUP(K334,verfvoorraad!C:C,verfvoorraad!E:E),IFERROR(_xlfn.XLOOKUP(IF(LEFT(UPPER(K334),4)="REV-","REV-"&amp;VALUE(MID(K334,5,99)),IF(LEN(K334)=5,LEFT(K334,2)&amp;"."&amp;RIGHT(K334,3),K334)),verfvoorraad!E:E,verfvoorraad!E:E),"Niet gevonden")))</f>
        <v/>
      </c>
      <c r="O334" t="str">
        <f>IF(K334="","",IFERROR(_xlfn.XLOOKUP(K334,verfvoorraad!C:C,verfvoorraad!F:F),IFERROR(_xlfn.XLOOKUP(IF(LEFT(UPPER(K334),4)="REV-","REV-"&amp;VALUE(MID(K334,5,99)),IF(LEN(K334)=5,LEFT(K334,2)&amp;"."&amp;RIGHT(K334,3),K334)),verfvoorraad!E:E,verfvoorraad!F:F),"Niet gevonden")))</f>
        <v/>
      </c>
      <c r="P334" t="str">
        <f>IF(K334="","",IFERROR(_xlfn.XLOOKUP(K334,verfvoorraad!C:C,verfvoorraad!G:G),IFERROR(_xlfn.XLOOKUP(IF(LEFT(UPPER(K334),4)="REV-","REV-"&amp;VALUE(MID(K334,5,99)),IF(LEN(K334)=5,LEFT(K334,2)&amp;"."&amp;RIGHT(K334,3),K334)),verfvoorraad!E:E,verfvoorraad!G:G),"Niet gevonden")))</f>
        <v/>
      </c>
      <c r="Q334" t="str">
        <f t="shared" si="8"/>
        <v/>
      </c>
      <c r="R334" t="str">
        <f t="shared" si="9"/>
        <v/>
      </c>
    </row>
    <row r="335" spans="6:18" x14ac:dyDescent="0.25">
      <c r="F335"/>
      <c r="G335" s="20"/>
      <c r="H335" s="21"/>
      <c r="K335" s="23"/>
      <c r="L335" t="str">
        <f>IF(K335="","",IFERROR(_xlfn.XLOOKUP(K335,verfvoorraad!C:C,verfvoorraad!B:B),IFERROR(_xlfn.XLOOKUP(IF(LEFT(UPPER(K335),4)="REV-","REV-"&amp;VALUE(MID(K335,5,99)),IF(LEN(K335)=5,LEFT(K335,2)&amp;"."&amp;RIGHT(K335,3),K335)),verfvoorraad!E:E,verfvoorraad!B:B),"Niet gevonden")))</f>
        <v/>
      </c>
      <c r="M335" t="str">
        <f>IF(K335="","",IFERROR(_xlfn.XLOOKUP(K335,verfvoorraad!C:C,verfvoorraad!D:D),IFERROR(_xlfn.XLOOKUP(IF(LEFT(UPPER(K335),4)="REV-","REV-"&amp;VALUE(MID(K335,5,99)),IF(LEN(K335)=5,LEFT(K335,2)&amp;"."&amp;RIGHT(K335,3),K335)),verfvoorraad!E:E,verfvoorraad!D:D),"Niet gevonden")))</f>
        <v/>
      </c>
      <c r="N335" t="str">
        <f>IF(K335="","",IFERROR(_xlfn.XLOOKUP(K335,verfvoorraad!C:C,verfvoorraad!E:E),IFERROR(_xlfn.XLOOKUP(IF(LEFT(UPPER(K335),4)="REV-","REV-"&amp;VALUE(MID(K335,5,99)),IF(LEN(K335)=5,LEFT(K335,2)&amp;"."&amp;RIGHT(K335,3),K335)),verfvoorraad!E:E,verfvoorraad!E:E),"Niet gevonden")))</f>
        <v/>
      </c>
      <c r="O335" t="str">
        <f>IF(K335="","",IFERROR(_xlfn.XLOOKUP(K335,verfvoorraad!C:C,verfvoorraad!F:F),IFERROR(_xlfn.XLOOKUP(IF(LEFT(UPPER(K335),4)="REV-","REV-"&amp;VALUE(MID(K335,5,99)),IF(LEN(K335)=5,LEFT(K335,2)&amp;"."&amp;RIGHT(K335,3),K335)),verfvoorraad!E:E,verfvoorraad!F:F),"Niet gevonden")))</f>
        <v/>
      </c>
      <c r="P335" t="str">
        <f>IF(K335="","",IFERROR(_xlfn.XLOOKUP(K335,verfvoorraad!C:C,verfvoorraad!G:G),IFERROR(_xlfn.XLOOKUP(IF(LEFT(UPPER(K335),4)="REV-","REV-"&amp;VALUE(MID(K335,5,99)),IF(LEN(K335)=5,LEFT(K335,2)&amp;"."&amp;RIGHT(K335,3),K335)),verfvoorraad!E:E,verfvoorraad!G:G),"Niet gevonden")))</f>
        <v/>
      </c>
      <c r="Q335" t="str">
        <f t="shared" si="8"/>
        <v/>
      </c>
      <c r="R335" t="str">
        <f t="shared" si="9"/>
        <v/>
      </c>
    </row>
    <row r="336" spans="6:18" x14ac:dyDescent="0.25">
      <c r="F336"/>
      <c r="G336" s="20"/>
      <c r="H336" s="21"/>
      <c r="K336" s="23"/>
      <c r="L336" t="str">
        <f>IF(K336="","",IFERROR(_xlfn.XLOOKUP(K336,verfvoorraad!C:C,verfvoorraad!B:B),IFERROR(_xlfn.XLOOKUP(IF(LEFT(UPPER(K336),4)="REV-","REV-"&amp;VALUE(MID(K336,5,99)),IF(LEN(K336)=5,LEFT(K336,2)&amp;"."&amp;RIGHT(K336,3),K336)),verfvoorraad!E:E,verfvoorraad!B:B),"Niet gevonden")))</f>
        <v/>
      </c>
      <c r="M336" t="str">
        <f>IF(K336="","",IFERROR(_xlfn.XLOOKUP(K336,verfvoorraad!C:C,verfvoorraad!D:D),IFERROR(_xlfn.XLOOKUP(IF(LEFT(UPPER(K336),4)="REV-","REV-"&amp;VALUE(MID(K336,5,99)),IF(LEN(K336)=5,LEFT(K336,2)&amp;"."&amp;RIGHT(K336,3),K336)),verfvoorraad!E:E,verfvoorraad!D:D),"Niet gevonden")))</f>
        <v/>
      </c>
      <c r="N336" t="str">
        <f>IF(K336="","",IFERROR(_xlfn.XLOOKUP(K336,verfvoorraad!C:C,verfvoorraad!E:E),IFERROR(_xlfn.XLOOKUP(IF(LEFT(UPPER(K336),4)="REV-","REV-"&amp;VALUE(MID(K336,5,99)),IF(LEN(K336)=5,LEFT(K336,2)&amp;"."&amp;RIGHT(K336,3),K336)),verfvoorraad!E:E,verfvoorraad!E:E),"Niet gevonden")))</f>
        <v/>
      </c>
      <c r="O336" t="str">
        <f>IF(K336="","",IFERROR(_xlfn.XLOOKUP(K336,verfvoorraad!C:C,verfvoorraad!F:F),IFERROR(_xlfn.XLOOKUP(IF(LEFT(UPPER(K336),4)="REV-","REV-"&amp;VALUE(MID(K336,5,99)),IF(LEN(K336)=5,LEFT(K336,2)&amp;"."&amp;RIGHT(K336,3),K336)),verfvoorraad!E:E,verfvoorraad!F:F),"Niet gevonden")))</f>
        <v/>
      </c>
      <c r="P336" t="str">
        <f>IF(K336="","",IFERROR(_xlfn.XLOOKUP(K336,verfvoorraad!C:C,verfvoorraad!G:G),IFERROR(_xlfn.XLOOKUP(IF(LEFT(UPPER(K336),4)="REV-","REV-"&amp;VALUE(MID(K336,5,99)),IF(LEN(K336)=5,LEFT(K336,2)&amp;"."&amp;RIGHT(K336,3),K336)),verfvoorraad!E:E,verfvoorraad!G:G),"Niet gevonden")))</f>
        <v/>
      </c>
      <c r="Q336" t="str">
        <f t="shared" si="8"/>
        <v/>
      </c>
      <c r="R336" t="str">
        <f t="shared" si="9"/>
        <v/>
      </c>
    </row>
    <row r="337" spans="6:18" x14ac:dyDescent="0.25">
      <c r="F337"/>
      <c r="G337" s="20"/>
      <c r="H337" s="21"/>
      <c r="K337" s="23"/>
      <c r="L337" t="str">
        <f>IF(K337="","",IFERROR(_xlfn.XLOOKUP(K337,verfvoorraad!C:C,verfvoorraad!B:B),IFERROR(_xlfn.XLOOKUP(IF(LEFT(UPPER(K337),4)="REV-","REV-"&amp;VALUE(MID(K337,5,99)),IF(LEN(K337)=5,LEFT(K337,2)&amp;"."&amp;RIGHT(K337,3),K337)),verfvoorraad!E:E,verfvoorraad!B:B),"Niet gevonden")))</f>
        <v/>
      </c>
      <c r="M337" t="str">
        <f>IF(K337="","",IFERROR(_xlfn.XLOOKUP(K337,verfvoorraad!C:C,verfvoorraad!D:D),IFERROR(_xlfn.XLOOKUP(IF(LEFT(UPPER(K337),4)="REV-","REV-"&amp;VALUE(MID(K337,5,99)),IF(LEN(K337)=5,LEFT(K337,2)&amp;"."&amp;RIGHT(K337,3),K337)),verfvoorraad!E:E,verfvoorraad!D:D),"Niet gevonden")))</f>
        <v/>
      </c>
      <c r="N337" t="str">
        <f>IF(K337="","",IFERROR(_xlfn.XLOOKUP(K337,verfvoorraad!C:C,verfvoorraad!E:E),IFERROR(_xlfn.XLOOKUP(IF(LEFT(UPPER(K337),4)="REV-","REV-"&amp;VALUE(MID(K337,5,99)),IF(LEN(K337)=5,LEFT(K337,2)&amp;"."&amp;RIGHT(K337,3),K337)),verfvoorraad!E:E,verfvoorraad!E:E),"Niet gevonden")))</f>
        <v/>
      </c>
      <c r="O337" t="str">
        <f>IF(K337="","",IFERROR(_xlfn.XLOOKUP(K337,verfvoorraad!C:C,verfvoorraad!F:F),IFERROR(_xlfn.XLOOKUP(IF(LEFT(UPPER(K337),4)="REV-","REV-"&amp;VALUE(MID(K337,5,99)),IF(LEN(K337)=5,LEFT(K337,2)&amp;"."&amp;RIGHT(K337,3),K337)),verfvoorraad!E:E,verfvoorraad!F:F),"Niet gevonden")))</f>
        <v/>
      </c>
      <c r="P337" t="str">
        <f>IF(K337="","",IFERROR(_xlfn.XLOOKUP(K337,verfvoorraad!C:C,verfvoorraad!G:G),IFERROR(_xlfn.XLOOKUP(IF(LEFT(UPPER(K337),4)="REV-","REV-"&amp;VALUE(MID(K337,5,99)),IF(LEN(K337)=5,LEFT(K337,2)&amp;"."&amp;RIGHT(K337,3),K337)),verfvoorraad!E:E,verfvoorraad!G:G),"Niet gevonden")))</f>
        <v/>
      </c>
      <c r="Q337" t="str">
        <f t="shared" si="8"/>
        <v/>
      </c>
      <c r="R337" t="str">
        <f t="shared" si="9"/>
        <v/>
      </c>
    </row>
    <row r="338" spans="6:18" x14ac:dyDescent="0.25">
      <c r="F338"/>
      <c r="G338" s="20"/>
      <c r="H338" s="21"/>
      <c r="K338" s="23"/>
      <c r="L338" t="str">
        <f>IF(K338="","",IFERROR(_xlfn.XLOOKUP(K338,verfvoorraad!C:C,verfvoorraad!B:B),IFERROR(_xlfn.XLOOKUP(IF(LEFT(UPPER(K338),4)="REV-","REV-"&amp;VALUE(MID(K338,5,99)),IF(LEN(K338)=5,LEFT(K338,2)&amp;"."&amp;RIGHT(K338,3),K338)),verfvoorraad!E:E,verfvoorraad!B:B),"Niet gevonden")))</f>
        <v/>
      </c>
      <c r="M338" t="str">
        <f>IF(K338="","",IFERROR(_xlfn.XLOOKUP(K338,verfvoorraad!C:C,verfvoorraad!D:D),IFERROR(_xlfn.XLOOKUP(IF(LEFT(UPPER(K338),4)="REV-","REV-"&amp;VALUE(MID(K338,5,99)),IF(LEN(K338)=5,LEFT(K338,2)&amp;"."&amp;RIGHT(K338,3),K338)),verfvoorraad!E:E,verfvoorraad!D:D),"Niet gevonden")))</f>
        <v/>
      </c>
      <c r="N338" t="str">
        <f>IF(K338="","",IFERROR(_xlfn.XLOOKUP(K338,verfvoorraad!C:C,verfvoorraad!E:E),IFERROR(_xlfn.XLOOKUP(IF(LEFT(UPPER(K338),4)="REV-","REV-"&amp;VALUE(MID(K338,5,99)),IF(LEN(K338)=5,LEFT(K338,2)&amp;"."&amp;RIGHT(K338,3),K338)),verfvoorraad!E:E,verfvoorraad!E:E),"Niet gevonden")))</f>
        <v/>
      </c>
      <c r="O338" t="str">
        <f>IF(K338="","",IFERROR(_xlfn.XLOOKUP(K338,verfvoorraad!C:C,verfvoorraad!F:F),IFERROR(_xlfn.XLOOKUP(IF(LEFT(UPPER(K338),4)="REV-","REV-"&amp;VALUE(MID(K338,5,99)),IF(LEN(K338)=5,LEFT(K338,2)&amp;"."&amp;RIGHT(K338,3),K338)),verfvoorraad!E:E,verfvoorraad!F:F),"Niet gevonden")))</f>
        <v/>
      </c>
      <c r="P338" t="str">
        <f>IF(K338="","",IFERROR(_xlfn.XLOOKUP(K338,verfvoorraad!C:C,verfvoorraad!G:G),IFERROR(_xlfn.XLOOKUP(IF(LEFT(UPPER(K338),4)="REV-","REV-"&amp;VALUE(MID(K338,5,99)),IF(LEN(K338)=5,LEFT(K338,2)&amp;"."&amp;RIGHT(K338,3),K338)),verfvoorraad!E:E,verfvoorraad!G:G),"Niet gevonden")))</f>
        <v/>
      </c>
      <c r="Q338" t="str">
        <f t="shared" si="8"/>
        <v/>
      </c>
      <c r="R338" t="str">
        <f t="shared" si="9"/>
        <v/>
      </c>
    </row>
    <row r="339" spans="6:18" x14ac:dyDescent="0.25">
      <c r="F339"/>
      <c r="G339" s="20"/>
      <c r="H339" s="21"/>
      <c r="K339" s="23"/>
      <c r="L339" t="str">
        <f>IF(K339="","",IFERROR(_xlfn.XLOOKUP(K339,verfvoorraad!C:C,verfvoorraad!B:B),IFERROR(_xlfn.XLOOKUP(IF(LEFT(UPPER(K339),4)="REV-","REV-"&amp;VALUE(MID(K339,5,99)),IF(LEN(K339)=5,LEFT(K339,2)&amp;"."&amp;RIGHT(K339,3),K339)),verfvoorraad!E:E,verfvoorraad!B:B),"Niet gevonden")))</f>
        <v/>
      </c>
      <c r="M339" t="str">
        <f>IF(K339="","",IFERROR(_xlfn.XLOOKUP(K339,verfvoorraad!C:C,verfvoorraad!D:D),IFERROR(_xlfn.XLOOKUP(IF(LEFT(UPPER(K339),4)="REV-","REV-"&amp;VALUE(MID(K339,5,99)),IF(LEN(K339)=5,LEFT(K339,2)&amp;"."&amp;RIGHT(K339,3),K339)),verfvoorraad!E:E,verfvoorraad!D:D),"Niet gevonden")))</f>
        <v/>
      </c>
      <c r="N339" t="str">
        <f>IF(K339="","",IFERROR(_xlfn.XLOOKUP(K339,verfvoorraad!C:C,verfvoorraad!E:E),IFERROR(_xlfn.XLOOKUP(IF(LEFT(UPPER(K339),4)="REV-","REV-"&amp;VALUE(MID(K339,5,99)),IF(LEN(K339)=5,LEFT(K339,2)&amp;"."&amp;RIGHT(K339,3),K339)),verfvoorraad!E:E,verfvoorraad!E:E),"Niet gevonden")))</f>
        <v/>
      </c>
      <c r="O339" t="str">
        <f>IF(K339="","",IFERROR(_xlfn.XLOOKUP(K339,verfvoorraad!C:C,verfvoorraad!F:F),IFERROR(_xlfn.XLOOKUP(IF(LEFT(UPPER(K339),4)="REV-","REV-"&amp;VALUE(MID(K339,5,99)),IF(LEN(K339)=5,LEFT(K339,2)&amp;"."&amp;RIGHT(K339,3),K339)),verfvoorraad!E:E,verfvoorraad!F:F),"Niet gevonden")))</f>
        <v/>
      </c>
      <c r="P339" t="str">
        <f>IF(K339="","",IFERROR(_xlfn.XLOOKUP(K339,verfvoorraad!C:C,verfvoorraad!G:G),IFERROR(_xlfn.XLOOKUP(IF(LEFT(UPPER(K339),4)="REV-","REV-"&amp;VALUE(MID(K339,5,99)),IF(LEN(K339)=5,LEFT(K339,2)&amp;"."&amp;RIGHT(K339,3),K339)),verfvoorraad!E:E,verfvoorraad!G:G),"Niet gevonden")))</f>
        <v/>
      </c>
      <c r="Q339" t="str">
        <f t="shared" si="8"/>
        <v/>
      </c>
      <c r="R339" t="str">
        <f t="shared" si="9"/>
        <v/>
      </c>
    </row>
    <row r="340" spans="6:18" x14ac:dyDescent="0.25">
      <c r="F340"/>
      <c r="G340" s="20"/>
      <c r="H340" s="21"/>
      <c r="K340" s="23"/>
      <c r="L340" t="str">
        <f>IF(K340="","",IFERROR(_xlfn.XLOOKUP(K340,verfvoorraad!C:C,verfvoorraad!B:B),IFERROR(_xlfn.XLOOKUP(IF(LEFT(UPPER(K340),4)="REV-","REV-"&amp;VALUE(MID(K340,5,99)),IF(LEN(K340)=5,LEFT(K340,2)&amp;"."&amp;RIGHT(K340,3),K340)),verfvoorraad!E:E,verfvoorraad!B:B),"Niet gevonden")))</f>
        <v/>
      </c>
      <c r="M340" t="str">
        <f>IF(K340="","",IFERROR(_xlfn.XLOOKUP(K340,verfvoorraad!C:C,verfvoorraad!D:D),IFERROR(_xlfn.XLOOKUP(IF(LEFT(UPPER(K340),4)="REV-","REV-"&amp;VALUE(MID(K340,5,99)),IF(LEN(K340)=5,LEFT(K340,2)&amp;"."&amp;RIGHT(K340,3),K340)),verfvoorraad!E:E,verfvoorraad!D:D),"Niet gevonden")))</f>
        <v/>
      </c>
      <c r="N340" t="str">
        <f>IF(K340="","",IFERROR(_xlfn.XLOOKUP(K340,verfvoorraad!C:C,verfvoorraad!E:E),IFERROR(_xlfn.XLOOKUP(IF(LEFT(UPPER(K340),4)="REV-","REV-"&amp;VALUE(MID(K340,5,99)),IF(LEN(K340)=5,LEFT(K340,2)&amp;"."&amp;RIGHT(K340,3),K340)),verfvoorraad!E:E,verfvoorraad!E:E),"Niet gevonden")))</f>
        <v/>
      </c>
      <c r="O340" t="str">
        <f>IF(K340="","",IFERROR(_xlfn.XLOOKUP(K340,verfvoorraad!C:C,verfvoorraad!F:F),IFERROR(_xlfn.XLOOKUP(IF(LEFT(UPPER(K340),4)="REV-","REV-"&amp;VALUE(MID(K340,5,99)),IF(LEN(K340)=5,LEFT(K340,2)&amp;"."&amp;RIGHT(K340,3),K340)),verfvoorraad!E:E,verfvoorraad!F:F),"Niet gevonden")))</f>
        <v/>
      </c>
      <c r="P340" t="str">
        <f>IF(K340="","",IFERROR(_xlfn.XLOOKUP(K340,verfvoorraad!C:C,verfvoorraad!G:G),IFERROR(_xlfn.XLOOKUP(IF(LEFT(UPPER(K340),4)="REV-","REV-"&amp;VALUE(MID(K340,5,99)),IF(LEN(K340)=5,LEFT(K340,2)&amp;"."&amp;RIGHT(K340,3),K340)),verfvoorraad!E:E,verfvoorraad!G:G),"Niet gevonden")))</f>
        <v/>
      </c>
      <c r="Q340" t="str">
        <f t="shared" si="8"/>
        <v/>
      </c>
      <c r="R340" t="str">
        <f t="shared" si="9"/>
        <v/>
      </c>
    </row>
    <row r="341" spans="6:18" x14ac:dyDescent="0.25">
      <c r="F341"/>
      <c r="G341" s="20"/>
      <c r="H341" s="21"/>
      <c r="K341" s="23"/>
      <c r="L341" t="str">
        <f>IF(K341="","",IFERROR(_xlfn.XLOOKUP(K341,verfvoorraad!C:C,verfvoorraad!B:B),IFERROR(_xlfn.XLOOKUP(IF(LEFT(UPPER(K341),4)="REV-","REV-"&amp;VALUE(MID(K341,5,99)),IF(LEN(K341)=5,LEFT(K341,2)&amp;"."&amp;RIGHT(K341,3),K341)),verfvoorraad!E:E,verfvoorraad!B:B),"Niet gevonden")))</f>
        <v/>
      </c>
      <c r="M341" t="str">
        <f>IF(K341="","",IFERROR(_xlfn.XLOOKUP(K341,verfvoorraad!C:C,verfvoorraad!D:D),IFERROR(_xlfn.XLOOKUP(IF(LEFT(UPPER(K341),4)="REV-","REV-"&amp;VALUE(MID(K341,5,99)),IF(LEN(K341)=5,LEFT(K341,2)&amp;"."&amp;RIGHT(K341,3),K341)),verfvoorraad!E:E,verfvoorraad!D:D),"Niet gevonden")))</f>
        <v/>
      </c>
      <c r="N341" t="str">
        <f>IF(K341="","",IFERROR(_xlfn.XLOOKUP(K341,verfvoorraad!C:C,verfvoorraad!E:E),IFERROR(_xlfn.XLOOKUP(IF(LEFT(UPPER(K341),4)="REV-","REV-"&amp;VALUE(MID(K341,5,99)),IF(LEN(K341)=5,LEFT(K341,2)&amp;"."&amp;RIGHT(K341,3),K341)),verfvoorraad!E:E,verfvoorraad!E:E),"Niet gevonden")))</f>
        <v/>
      </c>
      <c r="O341" t="str">
        <f>IF(K341="","",IFERROR(_xlfn.XLOOKUP(K341,verfvoorraad!C:C,verfvoorraad!F:F),IFERROR(_xlfn.XLOOKUP(IF(LEFT(UPPER(K341),4)="REV-","REV-"&amp;VALUE(MID(K341,5,99)),IF(LEN(K341)=5,LEFT(K341,2)&amp;"."&amp;RIGHT(K341,3),K341)),verfvoorraad!E:E,verfvoorraad!F:F),"Niet gevonden")))</f>
        <v/>
      </c>
      <c r="P341" t="str">
        <f>IF(K341="","",IFERROR(_xlfn.XLOOKUP(K341,verfvoorraad!C:C,verfvoorraad!G:G),IFERROR(_xlfn.XLOOKUP(IF(LEFT(UPPER(K341),4)="REV-","REV-"&amp;VALUE(MID(K341,5,99)),IF(LEN(K341)=5,LEFT(K341,2)&amp;"."&amp;RIGHT(K341,3),K341)),verfvoorraad!E:E,verfvoorraad!G:G),"Niet gevonden")))</f>
        <v/>
      </c>
      <c r="Q341" t="str">
        <f t="shared" ref="Q341:Q404" si="10">IF(K341="","",IF(O341="Ja","Nee",IF(O341="Nee","Ja",IF(O341="Niet gevonden","Niet gevonden",""))))</f>
        <v/>
      </c>
      <c r="R341" t="str">
        <f t="shared" ref="R341:R404" si="11">IF(Q341="Ja","Toevoegen","")</f>
        <v/>
      </c>
    </row>
    <row r="342" spans="6:18" x14ac:dyDescent="0.25">
      <c r="F342"/>
      <c r="G342" s="20"/>
      <c r="H342" s="21"/>
      <c r="K342" s="23"/>
      <c r="L342" t="str">
        <f>IF(K342="","",IFERROR(_xlfn.XLOOKUP(K342,verfvoorraad!C:C,verfvoorraad!B:B),IFERROR(_xlfn.XLOOKUP(IF(LEFT(UPPER(K342),4)="REV-","REV-"&amp;VALUE(MID(K342,5,99)),IF(LEN(K342)=5,LEFT(K342,2)&amp;"."&amp;RIGHT(K342,3),K342)),verfvoorraad!E:E,verfvoorraad!B:B),"Niet gevonden")))</f>
        <v/>
      </c>
      <c r="M342" t="str">
        <f>IF(K342="","",IFERROR(_xlfn.XLOOKUP(K342,verfvoorraad!C:C,verfvoorraad!D:D),IFERROR(_xlfn.XLOOKUP(IF(LEFT(UPPER(K342),4)="REV-","REV-"&amp;VALUE(MID(K342,5,99)),IF(LEN(K342)=5,LEFT(K342,2)&amp;"."&amp;RIGHT(K342,3),K342)),verfvoorraad!E:E,verfvoorraad!D:D),"Niet gevonden")))</f>
        <v/>
      </c>
      <c r="N342" t="str">
        <f>IF(K342="","",IFERROR(_xlfn.XLOOKUP(K342,verfvoorraad!C:C,verfvoorraad!E:E),IFERROR(_xlfn.XLOOKUP(IF(LEFT(UPPER(K342),4)="REV-","REV-"&amp;VALUE(MID(K342,5,99)),IF(LEN(K342)=5,LEFT(K342,2)&amp;"."&amp;RIGHT(K342,3),K342)),verfvoorraad!E:E,verfvoorraad!E:E),"Niet gevonden")))</f>
        <v/>
      </c>
      <c r="O342" t="str">
        <f>IF(K342="","",IFERROR(_xlfn.XLOOKUP(K342,verfvoorraad!C:C,verfvoorraad!F:F),IFERROR(_xlfn.XLOOKUP(IF(LEFT(UPPER(K342),4)="REV-","REV-"&amp;VALUE(MID(K342,5,99)),IF(LEN(K342)=5,LEFT(K342,2)&amp;"."&amp;RIGHT(K342,3),K342)),verfvoorraad!E:E,verfvoorraad!F:F),"Niet gevonden")))</f>
        <v/>
      </c>
      <c r="P342" t="str">
        <f>IF(K342="","",IFERROR(_xlfn.XLOOKUP(K342,verfvoorraad!C:C,verfvoorraad!G:G),IFERROR(_xlfn.XLOOKUP(IF(LEFT(UPPER(K342),4)="REV-","REV-"&amp;VALUE(MID(K342,5,99)),IF(LEN(K342)=5,LEFT(K342,2)&amp;"."&amp;RIGHT(K342,3),K342)),verfvoorraad!E:E,verfvoorraad!G:G),"Niet gevonden")))</f>
        <v/>
      </c>
      <c r="Q342" t="str">
        <f t="shared" si="10"/>
        <v/>
      </c>
      <c r="R342" t="str">
        <f t="shared" si="11"/>
        <v/>
      </c>
    </row>
    <row r="343" spans="6:18" x14ac:dyDescent="0.25">
      <c r="F343"/>
      <c r="G343" s="20"/>
      <c r="H343" s="21"/>
      <c r="K343" s="23"/>
      <c r="L343" t="str">
        <f>IF(K343="","",IFERROR(_xlfn.XLOOKUP(K343,verfvoorraad!C:C,verfvoorraad!B:B),IFERROR(_xlfn.XLOOKUP(IF(LEFT(UPPER(K343),4)="REV-","REV-"&amp;VALUE(MID(K343,5,99)),IF(LEN(K343)=5,LEFT(K343,2)&amp;"."&amp;RIGHT(K343,3),K343)),verfvoorraad!E:E,verfvoorraad!B:B),"Niet gevonden")))</f>
        <v/>
      </c>
      <c r="M343" t="str">
        <f>IF(K343="","",IFERROR(_xlfn.XLOOKUP(K343,verfvoorraad!C:C,verfvoorraad!D:D),IFERROR(_xlfn.XLOOKUP(IF(LEFT(UPPER(K343),4)="REV-","REV-"&amp;VALUE(MID(K343,5,99)),IF(LEN(K343)=5,LEFT(K343,2)&amp;"."&amp;RIGHT(K343,3),K343)),verfvoorraad!E:E,verfvoorraad!D:D),"Niet gevonden")))</f>
        <v/>
      </c>
      <c r="N343" t="str">
        <f>IF(K343="","",IFERROR(_xlfn.XLOOKUP(K343,verfvoorraad!C:C,verfvoorraad!E:E),IFERROR(_xlfn.XLOOKUP(IF(LEFT(UPPER(K343),4)="REV-","REV-"&amp;VALUE(MID(K343,5,99)),IF(LEN(K343)=5,LEFT(K343,2)&amp;"."&amp;RIGHT(K343,3),K343)),verfvoorraad!E:E,verfvoorraad!E:E),"Niet gevonden")))</f>
        <v/>
      </c>
      <c r="O343" t="str">
        <f>IF(K343="","",IFERROR(_xlfn.XLOOKUP(K343,verfvoorraad!C:C,verfvoorraad!F:F),IFERROR(_xlfn.XLOOKUP(IF(LEFT(UPPER(K343),4)="REV-","REV-"&amp;VALUE(MID(K343,5,99)),IF(LEN(K343)=5,LEFT(K343,2)&amp;"."&amp;RIGHT(K343,3),K343)),verfvoorraad!E:E,verfvoorraad!F:F),"Niet gevonden")))</f>
        <v/>
      </c>
      <c r="P343" t="str">
        <f>IF(K343="","",IFERROR(_xlfn.XLOOKUP(K343,verfvoorraad!C:C,verfvoorraad!G:G),IFERROR(_xlfn.XLOOKUP(IF(LEFT(UPPER(K343),4)="REV-","REV-"&amp;VALUE(MID(K343,5,99)),IF(LEN(K343)=5,LEFT(K343,2)&amp;"."&amp;RIGHT(K343,3),K343)),verfvoorraad!E:E,verfvoorraad!G:G),"Niet gevonden")))</f>
        <v/>
      </c>
      <c r="Q343" t="str">
        <f t="shared" si="10"/>
        <v/>
      </c>
      <c r="R343" t="str">
        <f t="shared" si="11"/>
        <v/>
      </c>
    </row>
    <row r="344" spans="6:18" x14ac:dyDescent="0.25">
      <c r="F344"/>
      <c r="G344" s="20"/>
      <c r="H344" s="21"/>
      <c r="K344" s="23"/>
      <c r="L344" t="str">
        <f>IF(K344="","",IFERROR(_xlfn.XLOOKUP(K344,verfvoorraad!C:C,verfvoorraad!B:B),IFERROR(_xlfn.XLOOKUP(IF(LEFT(UPPER(K344),4)="REV-","REV-"&amp;VALUE(MID(K344,5,99)),IF(LEN(K344)=5,LEFT(K344,2)&amp;"."&amp;RIGHT(K344,3),K344)),verfvoorraad!E:E,verfvoorraad!B:B),"Niet gevonden")))</f>
        <v/>
      </c>
      <c r="M344" t="str">
        <f>IF(K344="","",IFERROR(_xlfn.XLOOKUP(K344,verfvoorraad!C:C,verfvoorraad!D:D),IFERROR(_xlfn.XLOOKUP(IF(LEFT(UPPER(K344),4)="REV-","REV-"&amp;VALUE(MID(K344,5,99)),IF(LEN(K344)=5,LEFT(K344,2)&amp;"."&amp;RIGHT(K344,3),K344)),verfvoorraad!E:E,verfvoorraad!D:D),"Niet gevonden")))</f>
        <v/>
      </c>
      <c r="N344" t="str">
        <f>IF(K344="","",IFERROR(_xlfn.XLOOKUP(K344,verfvoorraad!C:C,verfvoorraad!E:E),IFERROR(_xlfn.XLOOKUP(IF(LEFT(UPPER(K344),4)="REV-","REV-"&amp;VALUE(MID(K344,5,99)),IF(LEN(K344)=5,LEFT(K344,2)&amp;"."&amp;RIGHT(K344,3),K344)),verfvoorraad!E:E,verfvoorraad!E:E),"Niet gevonden")))</f>
        <v/>
      </c>
      <c r="O344" t="str">
        <f>IF(K344="","",IFERROR(_xlfn.XLOOKUP(K344,verfvoorraad!C:C,verfvoorraad!F:F),IFERROR(_xlfn.XLOOKUP(IF(LEFT(UPPER(K344),4)="REV-","REV-"&amp;VALUE(MID(K344,5,99)),IF(LEN(K344)=5,LEFT(K344,2)&amp;"."&amp;RIGHT(K344,3),K344)),verfvoorraad!E:E,verfvoorraad!F:F),"Niet gevonden")))</f>
        <v/>
      </c>
      <c r="P344" t="str">
        <f>IF(K344="","",IFERROR(_xlfn.XLOOKUP(K344,verfvoorraad!C:C,verfvoorraad!G:G),IFERROR(_xlfn.XLOOKUP(IF(LEFT(UPPER(K344),4)="REV-","REV-"&amp;VALUE(MID(K344,5,99)),IF(LEN(K344)=5,LEFT(K344,2)&amp;"."&amp;RIGHT(K344,3),K344)),verfvoorraad!E:E,verfvoorraad!G:G),"Niet gevonden")))</f>
        <v/>
      </c>
      <c r="Q344" t="str">
        <f t="shared" si="10"/>
        <v/>
      </c>
      <c r="R344" t="str">
        <f t="shared" si="11"/>
        <v/>
      </c>
    </row>
    <row r="345" spans="6:18" x14ac:dyDescent="0.25">
      <c r="F345"/>
      <c r="G345" s="20"/>
      <c r="H345" s="21"/>
      <c r="K345" s="23"/>
      <c r="L345" t="str">
        <f>IF(K345="","",IFERROR(_xlfn.XLOOKUP(K345,verfvoorraad!C:C,verfvoorraad!B:B),IFERROR(_xlfn.XLOOKUP(IF(LEFT(UPPER(K345),4)="REV-","REV-"&amp;VALUE(MID(K345,5,99)),IF(LEN(K345)=5,LEFT(K345,2)&amp;"."&amp;RIGHT(K345,3),K345)),verfvoorraad!E:E,verfvoorraad!B:B),"Niet gevonden")))</f>
        <v/>
      </c>
      <c r="M345" t="str">
        <f>IF(K345="","",IFERROR(_xlfn.XLOOKUP(K345,verfvoorraad!C:C,verfvoorraad!D:D),IFERROR(_xlfn.XLOOKUP(IF(LEFT(UPPER(K345),4)="REV-","REV-"&amp;VALUE(MID(K345,5,99)),IF(LEN(K345)=5,LEFT(K345,2)&amp;"."&amp;RIGHT(K345,3),K345)),verfvoorraad!E:E,verfvoorraad!D:D),"Niet gevonden")))</f>
        <v/>
      </c>
      <c r="N345" t="str">
        <f>IF(K345="","",IFERROR(_xlfn.XLOOKUP(K345,verfvoorraad!C:C,verfvoorraad!E:E),IFERROR(_xlfn.XLOOKUP(IF(LEFT(UPPER(K345),4)="REV-","REV-"&amp;VALUE(MID(K345,5,99)),IF(LEN(K345)=5,LEFT(K345,2)&amp;"."&amp;RIGHT(K345,3),K345)),verfvoorraad!E:E,verfvoorraad!E:E),"Niet gevonden")))</f>
        <v/>
      </c>
      <c r="O345" t="str">
        <f>IF(K345="","",IFERROR(_xlfn.XLOOKUP(K345,verfvoorraad!C:C,verfvoorraad!F:F),IFERROR(_xlfn.XLOOKUP(IF(LEFT(UPPER(K345),4)="REV-","REV-"&amp;VALUE(MID(K345,5,99)),IF(LEN(K345)=5,LEFT(K345,2)&amp;"."&amp;RIGHT(K345,3),K345)),verfvoorraad!E:E,verfvoorraad!F:F),"Niet gevonden")))</f>
        <v/>
      </c>
      <c r="P345" t="str">
        <f>IF(K345="","",IFERROR(_xlfn.XLOOKUP(K345,verfvoorraad!C:C,verfvoorraad!G:G),IFERROR(_xlfn.XLOOKUP(IF(LEFT(UPPER(K345),4)="REV-","REV-"&amp;VALUE(MID(K345,5,99)),IF(LEN(K345)=5,LEFT(K345,2)&amp;"."&amp;RIGHT(K345,3),K345)),verfvoorraad!E:E,verfvoorraad!G:G),"Niet gevonden")))</f>
        <v/>
      </c>
      <c r="Q345" t="str">
        <f t="shared" si="10"/>
        <v/>
      </c>
      <c r="R345" t="str">
        <f t="shared" si="11"/>
        <v/>
      </c>
    </row>
    <row r="346" spans="6:18" x14ac:dyDescent="0.25">
      <c r="F346"/>
      <c r="G346" s="20"/>
      <c r="H346" s="21"/>
      <c r="K346" s="23"/>
      <c r="L346" t="str">
        <f>IF(K346="","",IFERROR(_xlfn.XLOOKUP(K346,verfvoorraad!C:C,verfvoorraad!B:B),IFERROR(_xlfn.XLOOKUP(IF(LEFT(UPPER(K346),4)="REV-","REV-"&amp;VALUE(MID(K346,5,99)),IF(LEN(K346)=5,LEFT(K346,2)&amp;"."&amp;RIGHT(K346,3),K346)),verfvoorraad!E:E,verfvoorraad!B:B),"Niet gevonden")))</f>
        <v/>
      </c>
      <c r="M346" t="str">
        <f>IF(K346="","",IFERROR(_xlfn.XLOOKUP(K346,verfvoorraad!C:C,verfvoorraad!D:D),IFERROR(_xlfn.XLOOKUP(IF(LEFT(UPPER(K346),4)="REV-","REV-"&amp;VALUE(MID(K346,5,99)),IF(LEN(K346)=5,LEFT(K346,2)&amp;"."&amp;RIGHT(K346,3),K346)),verfvoorraad!E:E,verfvoorraad!D:D),"Niet gevonden")))</f>
        <v/>
      </c>
      <c r="N346" t="str">
        <f>IF(K346="","",IFERROR(_xlfn.XLOOKUP(K346,verfvoorraad!C:C,verfvoorraad!E:E),IFERROR(_xlfn.XLOOKUP(IF(LEFT(UPPER(K346),4)="REV-","REV-"&amp;VALUE(MID(K346,5,99)),IF(LEN(K346)=5,LEFT(K346,2)&amp;"."&amp;RIGHT(K346,3),K346)),verfvoorraad!E:E,verfvoorraad!E:E),"Niet gevonden")))</f>
        <v/>
      </c>
      <c r="O346" t="str">
        <f>IF(K346="","",IFERROR(_xlfn.XLOOKUP(K346,verfvoorraad!C:C,verfvoorraad!F:F),IFERROR(_xlfn.XLOOKUP(IF(LEFT(UPPER(K346),4)="REV-","REV-"&amp;VALUE(MID(K346,5,99)),IF(LEN(K346)=5,LEFT(K346,2)&amp;"."&amp;RIGHT(K346,3),K346)),verfvoorraad!E:E,verfvoorraad!F:F),"Niet gevonden")))</f>
        <v/>
      </c>
      <c r="P346" t="str">
        <f>IF(K346="","",IFERROR(_xlfn.XLOOKUP(K346,verfvoorraad!C:C,verfvoorraad!G:G),IFERROR(_xlfn.XLOOKUP(IF(LEFT(UPPER(K346),4)="REV-","REV-"&amp;VALUE(MID(K346,5,99)),IF(LEN(K346)=5,LEFT(K346,2)&amp;"."&amp;RIGHT(K346,3),K346)),verfvoorraad!E:E,verfvoorraad!G:G),"Niet gevonden")))</f>
        <v/>
      </c>
      <c r="Q346" t="str">
        <f t="shared" si="10"/>
        <v/>
      </c>
      <c r="R346" t="str">
        <f t="shared" si="11"/>
        <v/>
      </c>
    </row>
    <row r="347" spans="6:18" x14ac:dyDescent="0.25">
      <c r="F347"/>
      <c r="G347" s="20"/>
      <c r="H347" s="21"/>
      <c r="K347" s="23"/>
      <c r="L347" t="str">
        <f>IF(K347="","",IFERROR(_xlfn.XLOOKUP(K347,verfvoorraad!C:C,verfvoorraad!B:B),IFERROR(_xlfn.XLOOKUP(IF(LEFT(UPPER(K347),4)="REV-","REV-"&amp;VALUE(MID(K347,5,99)),IF(LEN(K347)=5,LEFT(K347,2)&amp;"."&amp;RIGHT(K347,3),K347)),verfvoorraad!E:E,verfvoorraad!B:B),"Niet gevonden")))</f>
        <v/>
      </c>
      <c r="M347" t="str">
        <f>IF(K347="","",IFERROR(_xlfn.XLOOKUP(K347,verfvoorraad!C:C,verfvoorraad!D:D),IFERROR(_xlfn.XLOOKUP(IF(LEFT(UPPER(K347),4)="REV-","REV-"&amp;VALUE(MID(K347,5,99)),IF(LEN(K347)=5,LEFT(K347,2)&amp;"."&amp;RIGHT(K347,3),K347)),verfvoorraad!E:E,verfvoorraad!D:D),"Niet gevonden")))</f>
        <v/>
      </c>
      <c r="N347" t="str">
        <f>IF(K347="","",IFERROR(_xlfn.XLOOKUP(K347,verfvoorraad!C:C,verfvoorraad!E:E),IFERROR(_xlfn.XLOOKUP(IF(LEFT(UPPER(K347),4)="REV-","REV-"&amp;VALUE(MID(K347,5,99)),IF(LEN(K347)=5,LEFT(K347,2)&amp;"."&amp;RIGHT(K347,3),K347)),verfvoorraad!E:E,verfvoorraad!E:E),"Niet gevonden")))</f>
        <v/>
      </c>
      <c r="O347" t="str">
        <f>IF(K347="","",IFERROR(_xlfn.XLOOKUP(K347,verfvoorraad!C:C,verfvoorraad!F:F),IFERROR(_xlfn.XLOOKUP(IF(LEFT(UPPER(K347),4)="REV-","REV-"&amp;VALUE(MID(K347,5,99)),IF(LEN(K347)=5,LEFT(K347,2)&amp;"."&amp;RIGHT(K347,3),K347)),verfvoorraad!E:E,verfvoorraad!F:F),"Niet gevonden")))</f>
        <v/>
      </c>
      <c r="P347" t="str">
        <f>IF(K347="","",IFERROR(_xlfn.XLOOKUP(K347,verfvoorraad!C:C,verfvoorraad!G:G),IFERROR(_xlfn.XLOOKUP(IF(LEFT(UPPER(K347),4)="REV-","REV-"&amp;VALUE(MID(K347,5,99)),IF(LEN(K347)=5,LEFT(K347,2)&amp;"."&amp;RIGHT(K347,3),K347)),verfvoorraad!E:E,verfvoorraad!G:G),"Niet gevonden")))</f>
        <v/>
      </c>
      <c r="Q347" t="str">
        <f t="shared" si="10"/>
        <v/>
      </c>
      <c r="R347" t="str">
        <f t="shared" si="11"/>
        <v/>
      </c>
    </row>
    <row r="348" spans="6:18" x14ac:dyDescent="0.25">
      <c r="F348"/>
      <c r="G348" s="20"/>
      <c r="H348" s="21"/>
      <c r="K348" s="23"/>
      <c r="L348" t="str">
        <f>IF(K348="","",IFERROR(_xlfn.XLOOKUP(K348,verfvoorraad!C:C,verfvoorraad!B:B),IFERROR(_xlfn.XLOOKUP(IF(LEFT(UPPER(K348),4)="REV-","REV-"&amp;VALUE(MID(K348,5,99)),IF(LEN(K348)=5,LEFT(K348,2)&amp;"."&amp;RIGHT(K348,3),K348)),verfvoorraad!E:E,verfvoorraad!B:B),"Niet gevonden")))</f>
        <v/>
      </c>
      <c r="M348" t="str">
        <f>IF(K348="","",IFERROR(_xlfn.XLOOKUP(K348,verfvoorraad!C:C,verfvoorraad!D:D),IFERROR(_xlfn.XLOOKUP(IF(LEFT(UPPER(K348),4)="REV-","REV-"&amp;VALUE(MID(K348,5,99)),IF(LEN(K348)=5,LEFT(K348,2)&amp;"."&amp;RIGHT(K348,3),K348)),verfvoorraad!E:E,verfvoorraad!D:D),"Niet gevonden")))</f>
        <v/>
      </c>
      <c r="N348" t="str">
        <f>IF(K348="","",IFERROR(_xlfn.XLOOKUP(K348,verfvoorraad!C:C,verfvoorraad!E:E),IFERROR(_xlfn.XLOOKUP(IF(LEFT(UPPER(K348),4)="REV-","REV-"&amp;VALUE(MID(K348,5,99)),IF(LEN(K348)=5,LEFT(K348,2)&amp;"."&amp;RIGHT(K348,3),K348)),verfvoorraad!E:E,verfvoorraad!E:E),"Niet gevonden")))</f>
        <v/>
      </c>
      <c r="O348" t="str">
        <f>IF(K348="","",IFERROR(_xlfn.XLOOKUP(K348,verfvoorraad!C:C,verfvoorraad!F:F),IFERROR(_xlfn.XLOOKUP(IF(LEFT(UPPER(K348),4)="REV-","REV-"&amp;VALUE(MID(K348,5,99)),IF(LEN(K348)=5,LEFT(K348,2)&amp;"."&amp;RIGHT(K348,3),K348)),verfvoorraad!E:E,verfvoorraad!F:F),"Niet gevonden")))</f>
        <v/>
      </c>
      <c r="P348" t="str">
        <f>IF(K348="","",IFERROR(_xlfn.XLOOKUP(K348,verfvoorraad!C:C,verfvoorraad!G:G),IFERROR(_xlfn.XLOOKUP(IF(LEFT(UPPER(K348),4)="REV-","REV-"&amp;VALUE(MID(K348,5,99)),IF(LEN(K348)=5,LEFT(K348,2)&amp;"."&amp;RIGHT(K348,3),K348)),verfvoorraad!E:E,verfvoorraad!G:G),"Niet gevonden")))</f>
        <v/>
      </c>
      <c r="Q348" t="str">
        <f t="shared" si="10"/>
        <v/>
      </c>
      <c r="R348" t="str">
        <f t="shared" si="11"/>
        <v/>
      </c>
    </row>
    <row r="349" spans="6:18" x14ac:dyDescent="0.25">
      <c r="F349"/>
      <c r="G349" s="20"/>
      <c r="H349" s="21"/>
      <c r="K349" s="23"/>
      <c r="L349" t="str">
        <f>IF(K349="","",IFERROR(_xlfn.XLOOKUP(K349,verfvoorraad!C:C,verfvoorraad!B:B),IFERROR(_xlfn.XLOOKUP(IF(LEFT(UPPER(K349),4)="REV-","REV-"&amp;VALUE(MID(K349,5,99)),IF(LEN(K349)=5,LEFT(K349,2)&amp;"."&amp;RIGHT(K349,3),K349)),verfvoorraad!E:E,verfvoorraad!B:B),"Niet gevonden")))</f>
        <v/>
      </c>
      <c r="M349" t="str">
        <f>IF(K349="","",IFERROR(_xlfn.XLOOKUP(K349,verfvoorraad!C:C,verfvoorraad!D:D),IFERROR(_xlfn.XLOOKUP(IF(LEFT(UPPER(K349),4)="REV-","REV-"&amp;VALUE(MID(K349,5,99)),IF(LEN(K349)=5,LEFT(K349,2)&amp;"."&amp;RIGHT(K349,3),K349)),verfvoorraad!E:E,verfvoorraad!D:D),"Niet gevonden")))</f>
        <v/>
      </c>
      <c r="N349" t="str">
        <f>IF(K349="","",IFERROR(_xlfn.XLOOKUP(K349,verfvoorraad!C:C,verfvoorraad!E:E),IFERROR(_xlfn.XLOOKUP(IF(LEFT(UPPER(K349),4)="REV-","REV-"&amp;VALUE(MID(K349,5,99)),IF(LEN(K349)=5,LEFT(K349,2)&amp;"."&amp;RIGHT(K349,3),K349)),verfvoorraad!E:E,verfvoorraad!E:E),"Niet gevonden")))</f>
        <v/>
      </c>
      <c r="O349" t="str">
        <f>IF(K349="","",IFERROR(_xlfn.XLOOKUP(K349,verfvoorraad!C:C,verfvoorraad!F:F),IFERROR(_xlfn.XLOOKUP(IF(LEFT(UPPER(K349),4)="REV-","REV-"&amp;VALUE(MID(K349,5,99)),IF(LEN(K349)=5,LEFT(K349,2)&amp;"."&amp;RIGHT(K349,3),K349)),verfvoorraad!E:E,verfvoorraad!F:F),"Niet gevonden")))</f>
        <v/>
      </c>
      <c r="P349" t="str">
        <f>IF(K349="","",IFERROR(_xlfn.XLOOKUP(K349,verfvoorraad!C:C,verfvoorraad!G:G),IFERROR(_xlfn.XLOOKUP(IF(LEFT(UPPER(K349),4)="REV-","REV-"&amp;VALUE(MID(K349,5,99)),IF(LEN(K349)=5,LEFT(K349,2)&amp;"."&amp;RIGHT(K349,3),K349)),verfvoorraad!E:E,verfvoorraad!G:G),"Niet gevonden")))</f>
        <v/>
      </c>
      <c r="Q349" t="str">
        <f t="shared" si="10"/>
        <v/>
      </c>
      <c r="R349" t="str">
        <f t="shared" si="11"/>
        <v/>
      </c>
    </row>
    <row r="350" spans="6:18" x14ac:dyDescent="0.25">
      <c r="F350"/>
      <c r="G350" s="20"/>
      <c r="H350" s="21"/>
      <c r="K350" s="23"/>
      <c r="L350" t="str">
        <f>IF(K350="","",IFERROR(_xlfn.XLOOKUP(K350,verfvoorraad!C:C,verfvoorraad!B:B),IFERROR(_xlfn.XLOOKUP(IF(LEFT(UPPER(K350),4)="REV-","REV-"&amp;VALUE(MID(K350,5,99)),IF(LEN(K350)=5,LEFT(K350,2)&amp;"."&amp;RIGHT(K350,3),K350)),verfvoorraad!E:E,verfvoorraad!B:B),"Niet gevonden")))</f>
        <v/>
      </c>
      <c r="M350" t="str">
        <f>IF(K350="","",IFERROR(_xlfn.XLOOKUP(K350,verfvoorraad!C:C,verfvoorraad!D:D),IFERROR(_xlfn.XLOOKUP(IF(LEFT(UPPER(K350),4)="REV-","REV-"&amp;VALUE(MID(K350,5,99)),IF(LEN(K350)=5,LEFT(K350,2)&amp;"."&amp;RIGHT(K350,3),K350)),verfvoorraad!E:E,verfvoorraad!D:D),"Niet gevonden")))</f>
        <v/>
      </c>
      <c r="N350" t="str">
        <f>IF(K350="","",IFERROR(_xlfn.XLOOKUP(K350,verfvoorraad!C:C,verfvoorraad!E:E),IFERROR(_xlfn.XLOOKUP(IF(LEFT(UPPER(K350),4)="REV-","REV-"&amp;VALUE(MID(K350,5,99)),IF(LEN(K350)=5,LEFT(K350,2)&amp;"."&amp;RIGHT(K350,3),K350)),verfvoorraad!E:E,verfvoorraad!E:E),"Niet gevonden")))</f>
        <v/>
      </c>
      <c r="O350" t="str">
        <f>IF(K350="","",IFERROR(_xlfn.XLOOKUP(K350,verfvoorraad!C:C,verfvoorraad!F:F),IFERROR(_xlfn.XLOOKUP(IF(LEFT(UPPER(K350),4)="REV-","REV-"&amp;VALUE(MID(K350,5,99)),IF(LEN(K350)=5,LEFT(K350,2)&amp;"."&amp;RIGHT(K350,3),K350)),verfvoorraad!E:E,verfvoorraad!F:F),"Niet gevonden")))</f>
        <v/>
      </c>
      <c r="P350" t="str">
        <f>IF(K350="","",IFERROR(_xlfn.XLOOKUP(K350,verfvoorraad!C:C,verfvoorraad!G:G),IFERROR(_xlfn.XLOOKUP(IF(LEFT(UPPER(K350),4)="REV-","REV-"&amp;VALUE(MID(K350,5,99)),IF(LEN(K350)=5,LEFT(K350,2)&amp;"."&amp;RIGHT(K350,3),K350)),verfvoorraad!E:E,verfvoorraad!G:G),"Niet gevonden")))</f>
        <v/>
      </c>
      <c r="Q350" t="str">
        <f t="shared" si="10"/>
        <v/>
      </c>
      <c r="R350" t="str">
        <f t="shared" si="11"/>
        <v/>
      </c>
    </row>
    <row r="351" spans="6:18" x14ac:dyDescent="0.25">
      <c r="F351"/>
      <c r="G351" s="20"/>
      <c r="H351" s="21"/>
      <c r="K351" s="23"/>
      <c r="L351" t="str">
        <f>IF(K351="","",IFERROR(_xlfn.XLOOKUP(K351,verfvoorraad!C:C,verfvoorraad!B:B),IFERROR(_xlfn.XLOOKUP(IF(LEFT(UPPER(K351),4)="REV-","REV-"&amp;VALUE(MID(K351,5,99)),IF(LEN(K351)=5,LEFT(K351,2)&amp;"."&amp;RIGHT(K351,3),K351)),verfvoorraad!E:E,verfvoorraad!B:B),"Niet gevonden")))</f>
        <v/>
      </c>
      <c r="M351" t="str">
        <f>IF(K351="","",IFERROR(_xlfn.XLOOKUP(K351,verfvoorraad!C:C,verfvoorraad!D:D),IFERROR(_xlfn.XLOOKUP(IF(LEFT(UPPER(K351),4)="REV-","REV-"&amp;VALUE(MID(K351,5,99)),IF(LEN(K351)=5,LEFT(K351,2)&amp;"."&amp;RIGHT(K351,3),K351)),verfvoorraad!E:E,verfvoorraad!D:D),"Niet gevonden")))</f>
        <v/>
      </c>
      <c r="N351" t="str">
        <f>IF(K351="","",IFERROR(_xlfn.XLOOKUP(K351,verfvoorraad!C:C,verfvoorraad!E:E),IFERROR(_xlfn.XLOOKUP(IF(LEFT(UPPER(K351),4)="REV-","REV-"&amp;VALUE(MID(K351,5,99)),IF(LEN(K351)=5,LEFT(K351,2)&amp;"."&amp;RIGHT(K351,3),K351)),verfvoorraad!E:E,verfvoorraad!E:E),"Niet gevonden")))</f>
        <v/>
      </c>
      <c r="O351" t="str">
        <f>IF(K351="","",IFERROR(_xlfn.XLOOKUP(K351,verfvoorraad!C:C,verfvoorraad!F:F),IFERROR(_xlfn.XLOOKUP(IF(LEFT(UPPER(K351),4)="REV-","REV-"&amp;VALUE(MID(K351,5,99)),IF(LEN(K351)=5,LEFT(K351,2)&amp;"."&amp;RIGHT(K351,3),K351)),verfvoorraad!E:E,verfvoorraad!F:F),"Niet gevonden")))</f>
        <v/>
      </c>
      <c r="P351" t="str">
        <f>IF(K351="","",IFERROR(_xlfn.XLOOKUP(K351,verfvoorraad!C:C,verfvoorraad!G:G),IFERROR(_xlfn.XLOOKUP(IF(LEFT(UPPER(K351),4)="REV-","REV-"&amp;VALUE(MID(K351,5,99)),IF(LEN(K351)=5,LEFT(K351,2)&amp;"."&amp;RIGHT(K351,3),K351)),verfvoorraad!E:E,verfvoorraad!G:G),"Niet gevonden")))</f>
        <v/>
      </c>
      <c r="Q351" t="str">
        <f t="shared" si="10"/>
        <v/>
      </c>
      <c r="R351" t="str">
        <f t="shared" si="11"/>
        <v/>
      </c>
    </row>
    <row r="352" spans="6:18" x14ac:dyDescent="0.25">
      <c r="F352"/>
      <c r="G352" s="20"/>
      <c r="H352" s="21"/>
      <c r="K352" s="23"/>
      <c r="L352" t="str">
        <f>IF(K352="","",IFERROR(_xlfn.XLOOKUP(K352,verfvoorraad!C:C,verfvoorraad!B:B),IFERROR(_xlfn.XLOOKUP(IF(LEFT(UPPER(K352),4)="REV-","REV-"&amp;VALUE(MID(K352,5,99)),IF(LEN(K352)=5,LEFT(K352,2)&amp;"."&amp;RIGHT(K352,3),K352)),verfvoorraad!E:E,verfvoorraad!B:B),"Niet gevonden")))</f>
        <v/>
      </c>
      <c r="M352" t="str">
        <f>IF(K352="","",IFERROR(_xlfn.XLOOKUP(K352,verfvoorraad!C:C,verfvoorraad!D:D),IFERROR(_xlfn.XLOOKUP(IF(LEFT(UPPER(K352),4)="REV-","REV-"&amp;VALUE(MID(K352,5,99)),IF(LEN(K352)=5,LEFT(K352,2)&amp;"."&amp;RIGHT(K352,3),K352)),verfvoorraad!E:E,verfvoorraad!D:D),"Niet gevonden")))</f>
        <v/>
      </c>
      <c r="N352" t="str">
        <f>IF(K352="","",IFERROR(_xlfn.XLOOKUP(K352,verfvoorraad!C:C,verfvoorraad!E:E),IFERROR(_xlfn.XLOOKUP(IF(LEFT(UPPER(K352),4)="REV-","REV-"&amp;VALUE(MID(K352,5,99)),IF(LEN(K352)=5,LEFT(K352,2)&amp;"."&amp;RIGHT(K352,3),K352)),verfvoorraad!E:E,verfvoorraad!E:E),"Niet gevonden")))</f>
        <v/>
      </c>
      <c r="O352" t="str">
        <f>IF(K352="","",IFERROR(_xlfn.XLOOKUP(K352,verfvoorraad!C:C,verfvoorraad!F:F),IFERROR(_xlfn.XLOOKUP(IF(LEFT(UPPER(K352),4)="REV-","REV-"&amp;VALUE(MID(K352,5,99)),IF(LEN(K352)=5,LEFT(K352,2)&amp;"."&amp;RIGHT(K352,3),K352)),verfvoorraad!E:E,verfvoorraad!F:F),"Niet gevonden")))</f>
        <v/>
      </c>
      <c r="P352" t="str">
        <f>IF(K352="","",IFERROR(_xlfn.XLOOKUP(K352,verfvoorraad!C:C,verfvoorraad!G:G),IFERROR(_xlfn.XLOOKUP(IF(LEFT(UPPER(K352),4)="REV-","REV-"&amp;VALUE(MID(K352,5,99)),IF(LEN(K352)=5,LEFT(K352,2)&amp;"."&amp;RIGHT(K352,3),K352)),verfvoorraad!E:E,verfvoorraad!G:G),"Niet gevonden")))</f>
        <v/>
      </c>
      <c r="Q352" t="str">
        <f t="shared" si="10"/>
        <v/>
      </c>
      <c r="R352" t="str">
        <f t="shared" si="11"/>
        <v/>
      </c>
    </row>
    <row r="353" spans="6:18" x14ac:dyDescent="0.25">
      <c r="F353"/>
      <c r="G353" s="20"/>
      <c r="H353" s="21"/>
      <c r="K353" s="23"/>
      <c r="L353" t="str">
        <f>IF(K353="","",IFERROR(_xlfn.XLOOKUP(K353,verfvoorraad!C:C,verfvoorraad!B:B),IFERROR(_xlfn.XLOOKUP(IF(LEFT(UPPER(K353),4)="REV-","REV-"&amp;VALUE(MID(K353,5,99)),IF(LEN(K353)=5,LEFT(K353,2)&amp;"."&amp;RIGHT(K353,3),K353)),verfvoorraad!E:E,verfvoorraad!B:B),"Niet gevonden")))</f>
        <v/>
      </c>
      <c r="M353" t="str">
        <f>IF(K353="","",IFERROR(_xlfn.XLOOKUP(K353,verfvoorraad!C:C,verfvoorraad!D:D),IFERROR(_xlfn.XLOOKUP(IF(LEFT(UPPER(K353),4)="REV-","REV-"&amp;VALUE(MID(K353,5,99)),IF(LEN(K353)=5,LEFT(K353,2)&amp;"."&amp;RIGHT(K353,3),K353)),verfvoorraad!E:E,verfvoorraad!D:D),"Niet gevonden")))</f>
        <v/>
      </c>
      <c r="N353" t="str">
        <f>IF(K353="","",IFERROR(_xlfn.XLOOKUP(K353,verfvoorraad!C:C,verfvoorraad!E:E),IFERROR(_xlfn.XLOOKUP(IF(LEFT(UPPER(K353),4)="REV-","REV-"&amp;VALUE(MID(K353,5,99)),IF(LEN(K353)=5,LEFT(K353,2)&amp;"."&amp;RIGHT(K353,3),K353)),verfvoorraad!E:E,verfvoorraad!E:E),"Niet gevonden")))</f>
        <v/>
      </c>
      <c r="O353" t="str">
        <f>IF(K353="","",IFERROR(_xlfn.XLOOKUP(K353,verfvoorraad!C:C,verfvoorraad!F:F),IFERROR(_xlfn.XLOOKUP(IF(LEFT(UPPER(K353),4)="REV-","REV-"&amp;VALUE(MID(K353,5,99)),IF(LEN(K353)=5,LEFT(K353,2)&amp;"."&amp;RIGHT(K353,3),K353)),verfvoorraad!E:E,verfvoorraad!F:F),"Niet gevonden")))</f>
        <v/>
      </c>
      <c r="P353" t="str">
        <f>IF(K353="","",IFERROR(_xlfn.XLOOKUP(K353,verfvoorraad!C:C,verfvoorraad!G:G),IFERROR(_xlfn.XLOOKUP(IF(LEFT(UPPER(K353),4)="REV-","REV-"&amp;VALUE(MID(K353,5,99)),IF(LEN(K353)=5,LEFT(K353,2)&amp;"."&amp;RIGHT(K353,3),K353)),verfvoorraad!E:E,verfvoorraad!G:G),"Niet gevonden")))</f>
        <v/>
      </c>
      <c r="Q353" t="str">
        <f t="shared" si="10"/>
        <v/>
      </c>
      <c r="R353" t="str">
        <f t="shared" si="11"/>
        <v/>
      </c>
    </row>
    <row r="354" spans="6:18" x14ac:dyDescent="0.25">
      <c r="F354"/>
      <c r="G354" s="20"/>
      <c r="H354" s="21"/>
      <c r="K354" s="23"/>
      <c r="L354" t="str">
        <f>IF(K354="","",IFERROR(_xlfn.XLOOKUP(K354,verfvoorraad!C:C,verfvoorraad!B:B),IFERROR(_xlfn.XLOOKUP(IF(LEFT(UPPER(K354),4)="REV-","REV-"&amp;VALUE(MID(K354,5,99)),IF(LEN(K354)=5,LEFT(K354,2)&amp;"."&amp;RIGHT(K354,3),K354)),verfvoorraad!E:E,verfvoorraad!B:B),"Niet gevonden")))</f>
        <v/>
      </c>
      <c r="M354" t="str">
        <f>IF(K354="","",IFERROR(_xlfn.XLOOKUP(K354,verfvoorraad!C:C,verfvoorraad!D:D),IFERROR(_xlfn.XLOOKUP(IF(LEFT(UPPER(K354),4)="REV-","REV-"&amp;VALUE(MID(K354,5,99)),IF(LEN(K354)=5,LEFT(K354,2)&amp;"."&amp;RIGHT(K354,3),K354)),verfvoorraad!E:E,verfvoorraad!D:D),"Niet gevonden")))</f>
        <v/>
      </c>
      <c r="N354" t="str">
        <f>IF(K354="","",IFERROR(_xlfn.XLOOKUP(K354,verfvoorraad!C:C,verfvoorraad!E:E),IFERROR(_xlfn.XLOOKUP(IF(LEFT(UPPER(K354),4)="REV-","REV-"&amp;VALUE(MID(K354,5,99)),IF(LEN(K354)=5,LEFT(K354,2)&amp;"."&amp;RIGHT(K354,3),K354)),verfvoorraad!E:E,verfvoorraad!E:E),"Niet gevonden")))</f>
        <v/>
      </c>
      <c r="O354" t="str">
        <f>IF(K354="","",IFERROR(_xlfn.XLOOKUP(K354,verfvoorraad!C:C,verfvoorraad!F:F),IFERROR(_xlfn.XLOOKUP(IF(LEFT(UPPER(K354),4)="REV-","REV-"&amp;VALUE(MID(K354,5,99)),IF(LEN(K354)=5,LEFT(K354,2)&amp;"."&amp;RIGHT(K354,3),K354)),verfvoorraad!E:E,verfvoorraad!F:F),"Niet gevonden")))</f>
        <v/>
      </c>
      <c r="P354" t="str">
        <f>IF(K354="","",IFERROR(_xlfn.XLOOKUP(K354,verfvoorraad!C:C,verfvoorraad!G:G),IFERROR(_xlfn.XLOOKUP(IF(LEFT(UPPER(K354),4)="REV-","REV-"&amp;VALUE(MID(K354,5,99)),IF(LEN(K354)=5,LEFT(K354,2)&amp;"."&amp;RIGHT(K354,3),K354)),verfvoorraad!E:E,verfvoorraad!G:G),"Niet gevonden")))</f>
        <v/>
      </c>
      <c r="Q354" t="str">
        <f t="shared" si="10"/>
        <v/>
      </c>
      <c r="R354" t="str">
        <f t="shared" si="11"/>
        <v/>
      </c>
    </row>
    <row r="355" spans="6:18" x14ac:dyDescent="0.25">
      <c r="F355"/>
      <c r="G355" s="20"/>
      <c r="H355" s="21"/>
      <c r="K355" s="23"/>
      <c r="L355" t="str">
        <f>IF(K355="","",IFERROR(_xlfn.XLOOKUP(K355,verfvoorraad!C:C,verfvoorraad!B:B),IFERROR(_xlfn.XLOOKUP(IF(LEFT(UPPER(K355),4)="REV-","REV-"&amp;VALUE(MID(K355,5,99)),IF(LEN(K355)=5,LEFT(K355,2)&amp;"."&amp;RIGHT(K355,3),K355)),verfvoorraad!E:E,verfvoorraad!B:B),"Niet gevonden")))</f>
        <v/>
      </c>
      <c r="M355" t="str">
        <f>IF(K355="","",IFERROR(_xlfn.XLOOKUP(K355,verfvoorraad!C:C,verfvoorraad!D:D),IFERROR(_xlfn.XLOOKUP(IF(LEFT(UPPER(K355),4)="REV-","REV-"&amp;VALUE(MID(K355,5,99)),IF(LEN(K355)=5,LEFT(K355,2)&amp;"."&amp;RIGHT(K355,3),K355)),verfvoorraad!E:E,verfvoorraad!D:D),"Niet gevonden")))</f>
        <v/>
      </c>
      <c r="N355" t="str">
        <f>IF(K355="","",IFERROR(_xlfn.XLOOKUP(K355,verfvoorraad!C:C,verfvoorraad!E:E),IFERROR(_xlfn.XLOOKUP(IF(LEFT(UPPER(K355),4)="REV-","REV-"&amp;VALUE(MID(K355,5,99)),IF(LEN(K355)=5,LEFT(K355,2)&amp;"."&amp;RIGHT(K355,3),K355)),verfvoorraad!E:E,verfvoorraad!E:E),"Niet gevonden")))</f>
        <v/>
      </c>
      <c r="O355" t="str">
        <f>IF(K355="","",IFERROR(_xlfn.XLOOKUP(K355,verfvoorraad!C:C,verfvoorraad!F:F),IFERROR(_xlfn.XLOOKUP(IF(LEFT(UPPER(K355),4)="REV-","REV-"&amp;VALUE(MID(K355,5,99)),IF(LEN(K355)=5,LEFT(K355,2)&amp;"."&amp;RIGHT(K355,3),K355)),verfvoorraad!E:E,verfvoorraad!F:F),"Niet gevonden")))</f>
        <v/>
      </c>
      <c r="P355" t="str">
        <f>IF(K355="","",IFERROR(_xlfn.XLOOKUP(K355,verfvoorraad!C:C,verfvoorraad!G:G),IFERROR(_xlfn.XLOOKUP(IF(LEFT(UPPER(K355),4)="REV-","REV-"&amp;VALUE(MID(K355,5,99)),IF(LEN(K355)=5,LEFT(K355,2)&amp;"."&amp;RIGHT(K355,3),K355)),verfvoorraad!E:E,verfvoorraad!G:G),"Niet gevonden")))</f>
        <v/>
      </c>
      <c r="Q355" t="str">
        <f t="shared" si="10"/>
        <v/>
      </c>
      <c r="R355" t="str">
        <f t="shared" si="11"/>
        <v/>
      </c>
    </row>
    <row r="356" spans="6:18" x14ac:dyDescent="0.25">
      <c r="F356"/>
      <c r="G356" s="20"/>
      <c r="H356" s="21"/>
      <c r="K356" s="23"/>
      <c r="L356" t="str">
        <f>IF(K356="","",IFERROR(_xlfn.XLOOKUP(K356,verfvoorraad!C:C,verfvoorraad!B:B),IFERROR(_xlfn.XLOOKUP(IF(LEFT(UPPER(K356),4)="REV-","REV-"&amp;VALUE(MID(K356,5,99)),IF(LEN(K356)=5,LEFT(K356,2)&amp;"."&amp;RIGHT(K356,3),K356)),verfvoorraad!E:E,verfvoorraad!B:B),"Niet gevonden")))</f>
        <v/>
      </c>
      <c r="M356" t="str">
        <f>IF(K356="","",IFERROR(_xlfn.XLOOKUP(K356,verfvoorraad!C:C,verfvoorraad!D:D),IFERROR(_xlfn.XLOOKUP(IF(LEFT(UPPER(K356),4)="REV-","REV-"&amp;VALUE(MID(K356,5,99)),IF(LEN(K356)=5,LEFT(K356,2)&amp;"."&amp;RIGHT(K356,3),K356)),verfvoorraad!E:E,verfvoorraad!D:D),"Niet gevonden")))</f>
        <v/>
      </c>
      <c r="N356" t="str">
        <f>IF(K356="","",IFERROR(_xlfn.XLOOKUP(K356,verfvoorraad!C:C,verfvoorraad!E:E),IFERROR(_xlfn.XLOOKUP(IF(LEFT(UPPER(K356),4)="REV-","REV-"&amp;VALUE(MID(K356,5,99)),IF(LEN(K356)=5,LEFT(K356,2)&amp;"."&amp;RIGHT(K356,3),K356)),verfvoorraad!E:E,verfvoorraad!E:E),"Niet gevonden")))</f>
        <v/>
      </c>
      <c r="O356" t="str">
        <f>IF(K356="","",IFERROR(_xlfn.XLOOKUP(K356,verfvoorraad!C:C,verfvoorraad!F:F),IFERROR(_xlfn.XLOOKUP(IF(LEFT(UPPER(K356),4)="REV-","REV-"&amp;VALUE(MID(K356,5,99)),IF(LEN(K356)=5,LEFT(K356,2)&amp;"."&amp;RIGHT(K356,3),K356)),verfvoorraad!E:E,verfvoorraad!F:F),"Niet gevonden")))</f>
        <v/>
      </c>
      <c r="P356" t="str">
        <f>IF(K356="","",IFERROR(_xlfn.XLOOKUP(K356,verfvoorraad!C:C,verfvoorraad!G:G),IFERROR(_xlfn.XLOOKUP(IF(LEFT(UPPER(K356),4)="REV-","REV-"&amp;VALUE(MID(K356,5,99)),IF(LEN(K356)=5,LEFT(K356,2)&amp;"."&amp;RIGHT(K356,3),K356)),verfvoorraad!E:E,verfvoorraad!G:G),"Niet gevonden")))</f>
        <v/>
      </c>
      <c r="Q356" t="str">
        <f t="shared" si="10"/>
        <v/>
      </c>
      <c r="R356" t="str">
        <f t="shared" si="11"/>
        <v/>
      </c>
    </row>
    <row r="357" spans="6:18" x14ac:dyDescent="0.25">
      <c r="F357"/>
      <c r="G357" s="20"/>
      <c r="H357" s="21"/>
      <c r="K357" s="23"/>
      <c r="L357" t="str">
        <f>IF(K357="","",IFERROR(_xlfn.XLOOKUP(K357,verfvoorraad!C:C,verfvoorraad!B:B),IFERROR(_xlfn.XLOOKUP(IF(LEFT(UPPER(K357),4)="REV-","REV-"&amp;VALUE(MID(K357,5,99)),IF(LEN(K357)=5,LEFT(K357,2)&amp;"."&amp;RIGHT(K357,3),K357)),verfvoorraad!E:E,verfvoorraad!B:B),"Niet gevonden")))</f>
        <v/>
      </c>
      <c r="M357" t="str">
        <f>IF(K357="","",IFERROR(_xlfn.XLOOKUP(K357,verfvoorraad!C:C,verfvoorraad!D:D),IFERROR(_xlfn.XLOOKUP(IF(LEFT(UPPER(K357),4)="REV-","REV-"&amp;VALUE(MID(K357,5,99)),IF(LEN(K357)=5,LEFT(K357,2)&amp;"."&amp;RIGHT(K357,3),K357)),verfvoorraad!E:E,verfvoorraad!D:D),"Niet gevonden")))</f>
        <v/>
      </c>
      <c r="N357" t="str">
        <f>IF(K357="","",IFERROR(_xlfn.XLOOKUP(K357,verfvoorraad!C:C,verfvoorraad!E:E),IFERROR(_xlfn.XLOOKUP(IF(LEFT(UPPER(K357),4)="REV-","REV-"&amp;VALUE(MID(K357,5,99)),IF(LEN(K357)=5,LEFT(K357,2)&amp;"."&amp;RIGHT(K357,3),K357)),verfvoorraad!E:E,verfvoorraad!E:E),"Niet gevonden")))</f>
        <v/>
      </c>
      <c r="O357" t="str">
        <f>IF(K357="","",IFERROR(_xlfn.XLOOKUP(K357,verfvoorraad!C:C,verfvoorraad!F:F),IFERROR(_xlfn.XLOOKUP(IF(LEFT(UPPER(K357),4)="REV-","REV-"&amp;VALUE(MID(K357,5,99)),IF(LEN(K357)=5,LEFT(K357,2)&amp;"."&amp;RIGHT(K357,3),K357)),verfvoorraad!E:E,verfvoorraad!F:F),"Niet gevonden")))</f>
        <v/>
      </c>
      <c r="P357" t="str">
        <f>IF(K357="","",IFERROR(_xlfn.XLOOKUP(K357,verfvoorraad!C:C,verfvoorraad!G:G),IFERROR(_xlfn.XLOOKUP(IF(LEFT(UPPER(K357),4)="REV-","REV-"&amp;VALUE(MID(K357,5,99)),IF(LEN(K357)=5,LEFT(K357,2)&amp;"."&amp;RIGHT(K357,3),K357)),verfvoorraad!E:E,verfvoorraad!G:G),"Niet gevonden")))</f>
        <v/>
      </c>
      <c r="Q357" t="str">
        <f t="shared" si="10"/>
        <v/>
      </c>
      <c r="R357" t="str">
        <f t="shared" si="11"/>
        <v/>
      </c>
    </row>
    <row r="358" spans="6:18" x14ac:dyDescent="0.25">
      <c r="F358"/>
      <c r="G358" s="20"/>
      <c r="H358" s="21"/>
      <c r="K358" s="23"/>
      <c r="L358" t="str">
        <f>IF(K358="","",IFERROR(_xlfn.XLOOKUP(K358,verfvoorraad!C:C,verfvoorraad!B:B),IFERROR(_xlfn.XLOOKUP(IF(LEFT(UPPER(K358),4)="REV-","REV-"&amp;VALUE(MID(K358,5,99)),IF(LEN(K358)=5,LEFT(K358,2)&amp;"."&amp;RIGHT(K358,3),K358)),verfvoorraad!E:E,verfvoorraad!B:B),"Niet gevonden")))</f>
        <v/>
      </c>
      <c r="M358" t="str">
        <f>IF(K358="","",IFERROR(_xlfn.XLOOKUP(K358,verfvoorraad!C:C,verfvoorraad!D:D),IFERROR(_xlfn.XLOOKUP(IF(LEFT(UPPER(K358),4)="REV-","REV-"&amp;VALUE(MID(K358,5,99)),IF(LEN(K358)=5,LEFT(K358,2)&amp;"."&amp;RIGHT(K358,3),K358)),verfvoorraad!E:E,verfvoorraad!D:D),"Niet gevonden")))</f>
        <v/>
      </c>
      <c r="N358" t="str">
        <f>IF(K358="","",IFERROR(_xlfn.XLOOKUP(K358,verfvoorraad!C:C,verfvoorraad!E:E),IFERROR(_xlfn.XLOOKUP(IF(LEFT(UPPER(K358),4)="REV-","REV-"&amp;VALUE(MID(K358,5,99)),IF(LEN(K358)=5,LEFT(K358,2)&amp;"."&amp;RIGHT(K358,3),K358)),verfvoorraad!E:E,verfvoorraad!E:E),"Niet gevonden")))</f>
        <v/>
      </c>
      <c r="O358" t="str">
        <f>IF(K358="","",IFERROR(_xlfn.XLOOKUP(K358,verfvoorraad!C:C,verfvoorraad!F:F),IFERROR(_xlfn.XLOOKUP(IF(LEFT(UPPER(K358),4)="REV-","REV-"&amp;VALUE(MID(K358,5,99)),IF(LEN(K358)=5,LEFT(K358,2)&amp;"."&amp;RIGHT(K358,3),K358)),verfvoorraad!E:E,verfvoorraad!F:F),"Niet gevonden")))</f>
        <v/>
      </c>
      <c r="P358" t="str">
        <f>IF(K358="","",IFERROR(_xlfn.XLOOKUP(K358,verfvoorraad!C:C,verfvoorraad!G:G),IFERROR(_xlfn.XLOOKUP(IF(LEFT(UPPER(K358),4)="REV-","REV-"&amp;VALUE(MID(K358,5,99)),IF(LEN(K358)=5,LEFT(K358,2)&amp;"."&amp;RIGHT(K358,3),K358)),verfvoorraad!E:E,verfvoorraad!G:G),"Niet gevonden")))</f>
        <v/>
      </c>
      <c r="Q358" t="str">
        <f t="shared" si="10"/>
        <v/>
      </c>
      <c r="R358" t="str">
        <f t="shared" si="11"/>
        <v/>
      </c>
    </row>
    <row r="359" spans="6:18" x14ac:dyDescent="0.25">
      <c r="F359"/>
      <c r="G359" s="20"/>
      <c r="H359" s="21"/>
      <c r="K359" s="23"/>
      <c r="L359" t="str">
        <f>IF(K359="","",IFERROR(_xlfn.XLOOKUP(K359,verfvoorraad!C:C,verfvoorraad!B:B),IFERROR(_xlfn.XLOOKUP(IF(LEFT(UPPER(K359),4)="REV-","REV-"&amp;VALUE(MID(K359,5,99)),IF(LEN(K359)=5,LEFT(K359,2)&amp;"."&amp;RIGHT(K359,3),K359)),verfvoorraad!E:E,verfvoorraad!B:B),"Niet gevonden")))</f>
        <v/>
      </c>
      <c r="M359" t="str">
        <f>IF(K359="","",IFERROR(_xlfn.XLOOKUP(K359,verfvoorraad!C:C,verfvoorraad!D:D),IFERROR(_xlfn.XLOOKUP(IF(LEFT(UPPER(K359),4)="REV-","REV-"&amp;VALUE(MID(K359,5,99)),IF(LEN(K359)=5,LEFT(K359,2)&amp;"."&amp;RIGHT(K359,3),K359)),verfvoorraad!E:E,verfvoorraad!D:D),"Niet gevonden")))</f>
        <v/>
      </c>
      <c r="N359" t="str">
        <f>IF(K359="","",IFERROR(_xlfn.XLOOKUP(K359,verfvoorraad!C:C,verfvoorraad!E:E),IFERROR(_xlfn.XLOOKUP(IF(LEFT(UPPER(K359),4)="REV-","REV-"&amp;VALUE(MID(K359,5,99)),IF(LEN(K359)=5,LEFT(K359,2)&amp;"."&amp;RIGHT(K359,3),K359)),verfvoorraad!E:E,verfvoorraad!E:E),"Niet gevonden")))</f>
        <v/>
      </c>
      <c r="O359" t="str">
        <f>IF(K359="","",IFERROR(_xlfn.XLOOKUP(K359,verfvoorraad!C:C,verfvoorraad!F:F),IFERROR(_xlfn.XLOOKUP(IF(LEFT(UPPER(K359),4)="REV-","REV-"&amp;VALUE(MID(K359,5,99)),IF(LEN(K359)=5,LEFT(K359,2)&amp;"."&amp;RIGHT(K359,3),K359)),verfvoorraad!E:E,verfvoorraad!F:F),"Niet gevonden")))</f>
        <v/>
      </c>
      <c r="P359" t="str">
        <f>IF(K359="","",IFERROR(_xlfn.XLOOKUP(K359,verfvoorraad!C:C,verfvoorraad!G:G),IFERROR(_xlfn.XLOOKUP(IF(LEFT(UPPER(K359),4)="REV-","REV-"&amp;VALUE(MID(K359,5,99)),IF(LEN(K359)=5,LEFT(K359,2)&amp;"."&amp;RIGHT(K359,3),K359)),verfvoorraad!E:E,verfvoorraad!G:G),"Niet gevonden")))</f>
        <v/>
      </c>
      <c r="Q359" t="str">
        <f t="shared" si="10"/>
        <v/>
      </c>
      <c r="R359" t="str">
        <f t="shared" si="11"/>
        <v/>
      </c>
    </row>
    <row r="360" spans="6:18" x14ac:dyDescent="0.25">
      <c r="F360"/>
      <c r="G360" s="20"/>
      <c r="H360" s="21"/>
      <c r="K360" s="23"/>
      <c r="L360" t="str">
        <f>IF(K360="","",IFERROR(_xlfn.XLOOKUP(K360,verfvoorraad!C:C,verfvoorraad!B:B),IFERROR(_xlfn.XLOOKUP(IF(LEFT(UPPER(K360),4)="REV-","REV-"&amp;VALUE(MID(K360,5,99)),IF(LEN(K360)=5,LEFT(K360,2)&amp;"."&amp;RIGHT(K360,3),K360)),verfvoorraad!E:E,verfvoorraad!B:B),"Niet gevonden")))</f>
        <v/>
      </c>
      <c r="M360" t="str">
        <f>IF(K360="","",IFERROR(_xlfn.XLOOKUP(K360,verfvoorraad!C:C,verfvoorraad!D:D),IFERROR(_xlfn.XLOOKUP(IF(LEFT(UPPER(K360),4)="REV-","REV-"&amp;VALUE(MID(K360,5,99)),IF(LEN(K360)=5,LEFT(K360,2)&amp;"."&amp;RIGHT(K360,3),K360)),verfvoorraad!E:E,verfvoorraad!D:D),"Niet gevonden")))</f>
        <v/>
      </c>
      <c r="N360" t="str">
        <f>IF(K360="","",IFERROR(_xlfn.XLOOKUP(K360,verfvoorraad!C:C,verfvoorraad!E:E),IFERROR(_xlfn.XLOOKUP(IF(LEFT(UPPER(K360),4)="REV-","REV-"&amp;VALUE(MID(K360,5,99)),IF(LEN(K360)=5,LEFT(K360,2)&amp;"."&amp;RIGHT(K360,3),K360)),verfvoorraad!E:E,verfvoorraad!E:E),"Niet gevonden")))</f>
        <v/>
      </c>
      <c r="O360" t="str">
        <f>IF(K360="","",IFERROR(_xlfn.XLOOKUP(K360,verfvoorraad!C:C,verfvoorraad!F:F),IFERROR(_xlfn.XLOOKUP(IF(LEFT(UPPER(K360),4)="REV-","REV-"&amp;VALUE(MID(K360,5,99)),IF(LEN(K360)=5,LEFT(K360,2)&amp;"."&amp;RIGHT(K360,3),K360)),verfvoorraad!E:E,verfvoorraad!F:F),"Niet gevonden")))</f>
        <v/>
      </c>
      <c r="P360" t="str">
        <f>IF(K360="","",IFERROR(_xlfn.XLOOKUP(K360,verfvoorraad!C:C,verfvoorraad!G:G),IFERROR(_xlfn.XLOOKUP(IF(LEFT(UPPER(K360),4)="REV-","REV-"&amp;VALUE(MID(K360,5,99)),IF(LEN(K360)=5,LEFT(K360,2)&amp;"."&amp;RIGHT(K360,3),K360)),verfvoorraad!E:E,verfvoorraad!G:G),"Niet gevonden")))</f>
        <v/>
      </c>
      <c r="Q360" t="str">
        <f t="shared" si="10"/>
        <v/>
      </c>
      <c r="R360" t="str">
        <f t="shared" si="11"/>
        <v/>
      </c>
    </row>
    <row r="361" spans="6:18" x14ac:dyDescent="0.25">
      <c r="F361"/>
      <c r="G361" s="20"/>
      <c r="H361" s="21"/>
      <c r="K361" s="23"/>
      <c r="L361" t="str">
        <f>IF(K361="","",IFERROR(_xlfn.XLOOKUP(K361,verfvoorraad!C:C,verfvoorraad!B:B),IFERROR(_xlfn.XLOOKUP(IF(LEFT(UPPER(K361),4)="REV-","REV-"&amp;VALUE(MID(K361,5,99)),IF(LEN(K361)=5,LEFT(K361,2)&amp;"."&amp;RIGHT(K361,3),K361)),verfvoorraad!E:E,verfvoorraad!B:B),"Niet gevonden")))</f>
        <v/>
      </c>
      <c r="M361" t="str">
        <f>IF(K361="","",IFERROR(_xlfn.XLOOKUP(K361,verfvoorraad!C:C,verfvoorraad!D:D),IFERROR(_xlfn.XLOOKUP(IF(LEFT(UPPER(K361),4)="REV-","REV-"&amp;VALUE(MID(K361,5,99)),IF(LEN(K361)=5,LEFT(K361,2)&amp;"."&amp;RIGHT(K361,3),K361)),verfvoorraad!E:E,verfvoorraad!D:D),"Niet gevonden")))</f>
        <v/>
      </c>
      <c r="N361" t="str">
        <f>IF(K361="","",IFERROR(_xlfn.XLOOKUP(K361,verfvoorraad!C:C,verfvoorraad!E:E),IFERROR(_xlfn.XLOOKUP(IF(LEFT(UPPER(K361),4)="REV-","REV-"&amp;VALUE(MID(K361,5,99)),IF(LEN(K361)=5,LEFT(K361,2)&amp;"."&amp;RIGHT(K361,3),K361)),verfvoorraad!E:E,verfvoorraad!E:E),"Niet gevonden")))</f>
        <v/>
      </c>
      <c r="O361" t="str">
        <f>IF(K361="","",IFERROR(_xlfn.XLOOKUP(K361,verfvoorraad!C:C,verfvoorraad!F:F),IFERROR(_xlfn.XLOOKUP(IF(LEFT(UPPER(K361),4)="REV-","REV-"&amp;VALUE(MID(K361,5,99)),IF(LEN(K361)=5,LEFT(K361,2)&amp;"."&amp;RIGHT(K361,3),K361)),verfvoorraad!E:E,verfvoorraad!F:F),"Niet gevonden")))</f>
        <v/>
      </c>
      <c r="P361" t="str">
        <f>IF(K361="","",IFERROR(_xlfn.XLOOKUP(K361,verfvoorraad!C:C,verfvoorraad!G:G),IFERROR(_xlfn.XLOOKUP(IF(LEFT(UPPER(K361),4)="REV-","REV-"&amp;VALUE(MID(K361,5,99)),IF(LEN(K361)=5,LEFT(K361,2)&amp;"."&amp;RIGHT(K361,3),K361)),verfvoorraad!E:E,verfvoorraad!G:G),"Niet gevonden")))</f>
        <v/>
      </c>
      <c r="Q361" t="str">
        <f t="shared" si="10"/>
        <v/>
      </c>
      <c r="R361" t="str">
        <f t="shared" si="11"/>
        <v/>
      </c>
    </row>
    <row r="362" spans="6:18" x14ac:dyDescent="0.25">
      <c r="F362"/>
      <c r="G362" s="20"/>
      <c r="H362" s="21"/>
      <c r="K362" s="23"/>
      <c r="L362" t="str">
        <f>IF(K362="","",IFERROR(_xlfn.XLOOKUP(K362,verfvoorraad!C:C,verfvoorraad!B:B),IFERROR(_xlfn.XLOOKUP(IF(LEFT(UPPER(K362),4)="REV-","REV-"&amp;VALUE(MID(K362,5,99)),IF(LEN(K362)=5,LEFT(K362,2)&amp;"."&amp;RIGHT(K362,3),K362)),verfvoorraad!E:E,verfvoorraad!B:B),"Niet gevonden")))</f>
        <v/>
      </c>
      <c r="M362" t="str">
        <f>IF(K362="","",IFERROR(_xlfn.XLOOKUP(K362,verfvoorraad!C:C,verfvoorraad!D:D),IFERROR(_xlfn.XLOOKUP(IF(LEFT(UPPER(K362),4)="REV-","REV-"&amp;VALUE(MID(K362,5,99)),IF(LEN(K362)=5,LEFT(K362,2)&amp;"."&amp;RIGHT(K362,3),K362)),verfvoorraad!E:E,verfvoorraad!D:D),"Niet gevonden")))</f>
        <v/>
      </c>
      <c r="N362" t="str">
        <f>IF(K362="","",IFERROR(_xlfn.XLOOKUP(K362,verfvoorraad!C:C,verfvoorraad!E:E),IFERROR(_xlfn.XLOOKUP(IF(LEFT(UPPER(K362),4)="REV-","REV-"&amp;VALUE(MID(K362,5,99)),IF(LEN(K362)=5,LEFT(K362,2)&amp;"."&amp;RIGHT(K362,3),K362)),verfvoorraad!E:E,verfvoorraad!E:E),"Niet gevonden")))</f>
        <v/>
      </c>
      <c r="O362" t="str">
        <f>IF(K362="","",IFERROR(_xlfn.XLOOKUP(K362,verfvoorraad!C:C,verfvoorraad!F:F),IFERROR(_xlfn.XLOOKUP(IF(LEFT(UPPER(K362),4)="REV-","REV-"&amp;VALUE(MID(K362,5,99)),IF(LEN(K362)=5,LEFT(K362,2)&amp;"."&amp;RIGHT(K362,3),K362)),verfvoorraad!E:E,verfvoorraad!F:F),"Niet gevonden")))</f>
        <v/>
      </c>
      <c r="P362" t="str">
        <f>IF(K362="","",IFERROR(_xlfn.XLOOKUP(K362,verfvoorraad!C:C,verfvoorraad!G:G),IFERROR(_xlfn.XLOOKUP(IF(LEFT(UPPER(K362),4)="REV-","REV-"&amp;VALUE(MID(K362,5,99)),IF(LEN(K362)=5,LEFT(K362,2)&amp;"."&amp;RIGHT(K362,3),K362)),verfvoorraad!E:E,verfvoorraad!G:G),"Niet gevonden")))</f>
        <v/>
      </c>
      <c r="Q362" t="str">
        <f t="shared" si="10"/>
        <v/>
      </c>
      <c r="R362" t="str">
        <f t="shared" si="11"/>
        <v/>
      </c>
    </row>
    <row r="363" spans="6:18" x14ac:dyDescent="0.25">
      <c r="F363"/>
      <c r="G363" s="20"/>
      <c r="H363" s="21"/>
      <c r="K363" s="23"/>
      <c r="L363" t="str">
        <f>IF(K363="","",IFERROR(_xlfn.XLOOKUP(K363,verfvoorraad!C:C,verfvoorraad!B:B),IFERROR(_xlfn.XLOOKUP(IF(LEFT(UPPER(K363),4)="REV-","REV-"&amp;VALUE(MID(K363,5,99)),IF(LEN(K363)=5,LEFT(K363,2)&amp;"."&amp;RIGHT(K363,3),K363)),verfvoorraad!E:E,verfvoorraad!B:B),"Niet gevonden")))</f>
        <v/>
      </c>
      <c r="M363" t="str">
        <f>IF(K363="","",IFERROR(_xlfn.XLOOKUP(K363,verfvoorraad!C:C,verfvoorraad!D:D),IFERROR(_xlfn.XLOOKUP(IF(LEFT(UPPER(K363),4)="REV-","REV-"&amp;VALUE(MID(K363,5,99)),IF(LEN(K363)=5,LEFT(K363,2)&amp;"."&amp;RIGHT(K363,3),K363)),verfvoorraad!E:E,verfvoorraad!D:D),"Niet gevonden")))</f>
        <v/>
      </c>
      <c r="N363" t="str">
        <f>IF(K363="","",IFERROR(_xlfn.XLOOKUP(K363,verfvoorraad!C:C,verfvoorraad!E:E),IFERROR(_xlfn.XLOOKUP(IF(LEFT(UPPER(K363),4)="REV-","REV-"&amp;VALUE(MID(K363,5,99)),IF(LEN(K363)=5,LEFT(K363,2)&amp;"."&amp;RIGHT(K363,3),K363)),verfvoorraad!E:E,verfvoorraad!E:E),"Niet gevonden")))</f>
        <v/>
      </c>
      <c r="O363" t="str">
        <f>IF(K363="","",IFERROR(_xlfn.XLOOKUP(K363,verfvoorraad!C:C,verfvoorraad!F:F),IFERROR(_xlfn.XLOOKUP(IF(LEFT(UPPER(K363),4)="REV-","REV-"&amp;VALUE(MID(K363,5,99)),IF(LEN(K363)=5,LEFT(K363,2)&amp;"."&amp;RIGHT(K363,3),K363)),verfvoorraad!E:E,verfvoorraad!F:F),"Niet gevonden")))</f>
        <v/>
      </c>
      <c r="P363" t="str">
        <f>IF(K363="","",IFERROR(_xlfn.XLOOKUP(K363,verfvoorraad!C:C,verfvoorraad!G:G),IFERROR(_xlfn.XLOOKUP(IF(LEFT(UPPER(K363),4)="REV-","REV-"&amp;VALUE(MID(K363,5,99)),IF(LEN(K363)=5,LEFT(K363,2)&amp;"."&amp;RIGHT(K363,3),K363)),verfvoorraad!E:E,verfvoorraad!G:G),"Niet gevonden")))</f>
        <v/>
      </c>
      <c r="Q363" t="str">
        <f t="shared" si="10"/>
        <v/>
      </c>
      <c r="R363" t="str">
        <f t="shared" si="11"/>
        <v/>
      </c>
    </row>
    <row r="364" spans="6:18" x14ac:dyDescent="0.25">
      <c r="F364"/>
      <c r="G364" s="20"/>
      <c r="H364" s="21"/>
      <c r="K364" s="23"/>
      <c r="L364" t="str">
        <f>IF(K364="","",IFERROR(_xlfn.XLOOKUP(K364,verfvoorraad!C:C,verfvoorraad!B:B),IFERROR(_xlfn.XLOOKUP(IF(LEFT(UPPER(K364),4)="REV-","REV-"&amp;VALUE(MID(K364,5,99)),IF(LEN(K364)=5,LEFT(K364,2)&amp;"."&amp;RIGHT(K364,3),K364)),verfvoorraad!E:E,verfvoorraad!B:B),"Niet gevonden")))</f>
        <v/>
      </c>
      <c r="M364" t="str">
        <f>IF(K364="","",IFERROR(_xlfn.XLOOKUP(K364,verfvoorraad!C:C,verfvoorraad!D:D),IFERROR(_xlfn.XLOOKUP(IF(LEFT(UPPER(K364),4)="REV-","REV-"&amp;VALUE(MID(K364,5,99)),IF(LEN(K364)=5,LEFT(K364,2)&amp;"."&amp;RIGHT(K364,3),K364)),verfvoorraad!E:E,verfvoorraad!D:D),"Niet gevonden")))</f>
        <v/>
      </c>
      <c r="N364" t="str">
        <f>IF(K364="","",IFERROR(_xlfn.XLOOKUP(K364,verfvoorraad!C:C,verfvoorraad!E:E),IFERROR(_xlfn.XLOOKUP(IF(LEFT(UPPER(K364),4)="REV-","REV-"&amp;VALUE(MID(K364,5,99)),IF(LEN(K364)=5,LEFT(K364,2)&amp;"."&amp;RIGHT(K364,3),K364)),verfvoorraad!E:E,verfvoorraad!E:E),"Niet gevonden")))</f>
        <v/>
      </c>
      <c r="O364" t="str">
        <f>IF(K364="","",IFERROR(_xlfn.XLOOKUP(K364,verfvoorraad!C:C,verfvoorraad!F:F),IFERROR(_xlfn.XLOOKUP(IF(LEFT(UPPER(K364),4)="REV-","REV-"&amp;VALUE(MID(K364,5,99)),IF(LEN(K364)=5,LEFT(K364,2)&amp;"."&amp;RIGHT(K364,3),K364)),verfvoorraad!E:E,verfvoorraad!F:F),"Niet gevonden")))</f>
        <v/>
      </c>
      <c r="P364" t="str">
        <f>IF(K364="","",IFERROR(_xlfn.XLOOKUP(K364,verfvoorraad!C:C,verfvoorraad!G:G),IFERROR(_xlfn.XLOOKUP(IF(LEFT(UPPER(K364),4)="REV-","REV-"&amp;VALUE(MID(K364,5,99)),IF(LEN(K364)=5,LEFT(K364,2)&amp;"."&amp;RIGHT(K364,3),K364)),verfvoorraad!E:E,verfvoorraad!G:G),"Niet gevonden")))</f>
        <v/>
      </c>
      <c r="Q364" t="str">
        <f t="shared" si="10"/>
        <v/>
      </c>
      <c r="R364" t="str">
        <f t="shared" si="11"/>
        <v/>
      </c>
    </row>
    <row r="365" spans="6:18" x14ac:dyDescent="0.25">
      <c r="F365"/>
      <c r="G365" s="20"/>
      <c r="H365" s="21"/>
      <c r="K365" s="23"/>
      <c r="L365" t="str">
        <f>IF(K365="","",IFERROR(_xlfn.XLOOKUP(K365,verfvoorraad!C:C,verfvoorraad!B:B),IFERROR(_xlfn.XLOOKUP(IF(LEFT(UPPER(K365),4)="REV-","REV-"&amp;VALUE(MID(K365,5,99)),IF(LEN(K365)=5,LEFT(K365,2)&amp;"."&amp;RIGHT(K365,3),K365)),verfvoorraad!E:E,verfvoorraad!B:B),"Niet gevonden")))</f>
        <v/>
      </c>
      <c r="M365" t="str">
        <f>IF(K365="","",IFERROR(_xlfn.XLOOKUP(K365,verfvoorraad!C:C,verfvoorraad!D:D),IFERROR(_xlfn.XLOOKUP(IF(LEFT(UPPER(K365),4)="REV-","REV-"&amp;VALUE(MID(K365,5,99)),IF(LEN(K365)=5,LEFT(K365,2)&amp;"."&amp;RIGHT(K365,3),K365)),verfvoorraad!E:E,verfvoorraad!D:D),"Niet gevonden")))</f>
        <v/>
      </c>
      <c r="N365" t="str">
        <f>IF(K365="","",IFERROR(_xlfn.XLOOKUP(K365,verfvoorraad!C:C,verfvoorraad!E:E),IFERROR(_xlfn.XLOOKUP(IF(LEFT(UPPER(K365),4)="REV-","REV-"&amp;VALUE(MID(K365,5,99)),IF(LEN(K365)=5,LEFT(K365,2)&amp;"."&amp;RIGHT(K365,3),K365)),verfvoorraad!E:E,verfvoorraad!E:E),"Niet gevonden")))</f>
        <v/>
      </c>
      <c r="O365" t="str">
        <f>IF(K365="","",IFERROR(_xlfn.XLOOKUP(K365,verfvoorraad!C:C,verfvoorraad!F:F),IFERROR(_xlfn.XLOOKUP(IF(LEFT(UPPER(K365),4)="REV-","REV-"&amp;VALUE(MID(K365,5,99)),IF(LEN(K365)=5,LEFT(K365,2)&amp;"."&amp;RIGHT(K365,3),K365)),verfvoorraad!E:E,verfvoorraad!F:F),"Niet gevonden")))</f>
        <v/>
      </c>
      <c r="P365" t="str">
        <f>IF(K365="","",IFERROR(_xlfn.XLOOKUP(K365,verfvoorraad!C:C,verfvoorraad!G:G),IFERROR(_xlfn.XLOOKUP(IF(LEFT(UPPER(K365),4)="REV-","REV-"&amp;VALUE(MID(K365,5,99)),IF(LEN(K365)=5,LEFT(K365,2)&amp;"."&amp;RIGHT(K365,3),K365)),verfvoorraad!E:E,verfvoorraad!G:G),"Niet gevonden")))</f>
        <v/>
      </c>
      <c r="Q365" t="str">
        <f t="shared" si="10"/>
        <v/>
      </c>
      <c r="R365" t="str">
        <f t="shared" si="11"/>
        <v/>
      </c>
    </row>
    <row r="366" spans="6:18" x14ac:dyDescent="0.25">
      <c r="F366"/>
      <c r="G366" s="20"/>
      <c r="H366" s="21"/>
      <c r="K366" s="23"/>
      <c r="L366" t="str">
        <f>IF(K366="","",IFERROR(_xlfn.XLOOKUP(K366,verfvoorraad!C:C,verfvoorraad!B:B),IFERROR(_xlfn.XLOOKUP(IF(LEFT(UPPER(K366),4)="REV-","REV-"&amp;VALUE(MID(K366,5,99)),IF(LEN(K366)=5,LEFT(K366,2)&amp;"."&amp;RIGHT(K366,3),K366)),verfvoorraad!E:E,verfvoorraad!B:B),"Niet gevonden")))</f>
        <v/>
      </c>
      <c r="M366" t="str">
        <f>IF(K366="","",IFERROR(_xlfn.XLOOKUP(K366,verfvoorraad!C:C,verfvoorraad!D:D),IFERROR(_xlfn.XLOOKUP(IF(LEFT(UPPER(K366),4)="REV-","REV-"&amp;VALUE(MID(K366,5,99)),IF(LEN(K366)=5,LEFT(K366,2)&amp;"."&amp;RIGHT(K366,3),K366)),verfvoorraad!E:E,verfvoorraad!D:D),"Niet gevonden")))</f>
        <v/>
      </c>
      <c r="N366" t="str">
        <f>IF(K366="","",IFERROR(_xlfn.XLOOKUP(K366,verfvoorraad!C:C,verfvoorraad!E:E),IFERROR(_xlfn.XLOOKUP(IF(LEFT(UPPER(K366),4)="REV-","REV-"&amp;VALUE(MID(K366,5,99)),IF(LEN(K366)=5,LEFT(K366,2)&amp;"."&amp;RIGHT(K366,3),K366)),verfvoorraad!E:E,verfvoorraad!E:E),"Niet gevonden")))</f>
        <v/>
      </c>
      <c r="O366" t="str">
        <f>IF(K366="","",IFERROR(_xlfn.XLOOKUP(K366,verfvoorraad!C:C,verfvoorraad!F:F),IFERROR(_xlfn.XLOOKUP(IF(LEFT(UPPER(K366),4)="REV-","REV-"&amp;VALUE(MID(K366,5,99)),IF(LEN(K366)=5,LEFT(K366,2)&amp;"."&amp;RIGHT(K366,3),K366)),verfvoorraad!E:E,verfvoorraad!F:F),"Niet gevonden")))</f>
        <v/>
      </c>
      <c r="P366" t="str">
        <f>IF(K366="","",IFERROR(_xlfn.XLOOKUP(K366,verfvoorraad!C:C,verfvoorraad!G:G),IFERROR(_xlfn.XLOOKUP(IF(LEFT(UPPER(K366),4)="REV-","REV-"&amp;VALUE(MID(K366,5,99)),IF(LEN(K366)=5,LEFT(K366,2)&amp;"."&amp;RIGHT(K366,3),K366)),verfvoorraad!E:E,verfvoorraad!G:G),"Niet gevonden")))</f>
        <v/>
      </c>
      <c r="Q366" t="str">
        <f t="shared" si="10"/>
        <v/>
      </c>
      <c r="R366" t="str">
        <f t="shared" si="11"/>
        <v/>
      </c>
    </row>
    <row r="367" spans="6:18" x14ac:dyDescent="0.25">
      <c r="F367"/>
      <c r="G367" s="20"/>
      <c r="H367" s="21"/>
      <c r="K367" s="23"/>
      <c r="L367" t="str">
        <f>IF(K367="","",IFERROR(_xlfn.XLOOKUP(K367,verfvoorraad!C:C,verfvoorraad!B:B),IFERROR(_xlfn.XLOOKUP(IF(LEFT(UPPER(K367),4)="REV-","REV-"&amp;VALUE(MID(K367,5,99)),IF(LEN(K367)=5,LEFT(K367,2)&amp;"."&amp;RIGHT(K367,3),K367)),verfvoorraad!E:E,verfvoorraad!B:B),"Niet gevonden")))</f>
        <v/>
      </c>
      <c r="M367" t="str">
        <f>IF(K367="","",IFERROR(_xlfn.XLOOKUP(K367,verfvoorraad!C:C,verfvoorraad!D:D),IFERROR(_xlfn.XLOOKUP(IF(LEFT(UPPER(K367),4)="REV-","REV-"&amp;VALUE(MID(K367,5,99)),IF(LEN(K367)=5,LEFT(K367,2)&amp;"."&amp;RIGHT(K367,3),K367)),verfvoorraad!E:E,verfvoorraad!D:D),"Niet gevonden")))</f>
        <v/>
      </c>
      <c r="N367" t="str">
        <f>IF(K367="","",IFERROR(_xlfn.XLOOKUP(K367,verfvoorraad!C:C,verfvoorraad!E:E),IFERROR(_xlfn.XLOOKUP(IF(LEFT(UPPER(K367),4)="REV-","REV-"&amp;VALUE(MID(K367,5,99)),IF(LEN(K367)=5,LEFT(K367,2)&amp;"."&amp;RIGHT(K367,3),K367)),verfvoorraad!E:E,verfvoorraad!E:E),"Niet gevonden")))</f>
        <v/>
      </c>
      <c r="O367" t="str">
        <f>IF(K367="","",IFERROR(_xlfn.XLOOKUP(K367,verfvoorraad!C:C,verfvoorraad!F:F),IFERROR(_xlfn.XLOOKUP(IF(LEFT(UPPER(K367),4)="REV-","REV-"&amp;VALUE(MID(K367,5,99)),IF(LEN(K367)=5,LEFT(K367,2)&amp;"."&amp;RIGHT(K367,3),K367)),verfvoorraad!E:E,verfvoorraad!F:F),"Niet gevonden")))</f>
        <v/>
      </c>
      <c r="P367" t="str">
        <f>IF(K367="","",IFERROR(_xlfn.XLOOKUP(K367,verfvoorraad!C:C,verfvoorraad!G:G),IFERROR(_xlfn.XLOOKUP(IF(LEFT(UPPER(K367),4)="REV-","REV-"&amp;VALUE(MID(K367,5,99)),IF(LEN(K367)=5,LEFT(K367,2)&amp;"."&amp;RIGHT(K367,3),K367)),verfvoorraad!E:E,verfvoorraad!G:G),"Niet gevonden")))</f>
        <v/>
      </c>
      <c r="Q367" t="str">
        <f t="shared" si="10"/>
        <v/>
      </c>
      <c r="R367" t="str">
        <f t="shared" si="11"/>
        <v/>
      </c>
    </row>
    <row r="368" spans="6:18" x14ac:dyDescent="0.25">
      <c r="F368"/>
      <c r="G368" s="20"/>
      <c r="H368" s="21"/>
      <c r="K368" s="23"/>
      <c r="L368" t="str">
        <f>IF(K368="","",IFERROR(_xlfn.XLOOKUP(K368,verfvoorraad!C:C,verfvoorraad!B:B),IFERROR(_xlfn.XLOOKUP(IF(LEFT(UPPER(K368),4)="REV-","REV-"&amp;VALUE(MID(K368,5,99)),IF(LEN(K368)=5,LEFT(K368,2)&amp;"."&amp;RIGHT(K368,3),K368)),verfvoorraad!E:E,verfvoorraad!B:B),"Niet gevonden")))</f>
        <v/>
      </c>
      <c r="M368" t="str">
        <f>IF(K368="","",IFERROR(_xlfn.XLOOKUP(K368,verfvoorraad!C:C,verfvoorraad!D:D),IFERROR(_xlfn.XLOOKUP(IF(LEFT(UPPER(K368),4)="REV-","REV-"&amp;VALUE(MID(K368,5,99)),IF(LEN(K368)=5,LEFT(K368,2)&amp;"."&amp;RIGHT(K368,3),K368)),verfvoorraad!E:E,verfvoorraad!D:D),"Niet gevonden")))</f>
        <v/>
      </c>
      <c r="N368" t="str">
        <f>IF(K368="","",IFERROR(_xlfn.XLOOKUP(K368,verfvoorraad!C:C,verfvoorraad!E:E),IFERROR(_xlfn.XLOOKUP(IF(LEFT(UPPER(K368),4)="REV-","REV-"&amp;VALUE(MID(K368,5,99)),IF(LEN(K368)=5,LEFT(K368,2)&amp;"."&amp;RIGHT(K368,3),K368)),verfvoorraad!E:E,verfvoorraad!E:E),"Niet gevonden")))</f>
        <v/>
      </c>
      <c r="O368" t="str">
        <f>IF(K368="","",IFERROR(_xlfn.XLOOKUP(K368,verfvoorraad!C:C,verfvoorraad!F:F),IFERROR(_xlfn.XLOOKUP(IF(LEFT(UPPER(K368),4)="REV-","REV-"&amp;VALUE(MID(K368,5,99)),IF(LEN(K368)=5,LEFT(K368,2)&amp;"."&amp;RIGHT(K368,3),K368)),verfvoorraad!E:E,verfvoorraad!F:F),"Niet gevonden")))</f>
        <v/>
      </c>
      <c r="P368" t="str">
        <f>IF(K368="","",IFERROR(_xlfn.XLOOKUP(K368,verfvoorraad!C:C,verfvoorraad!G:G),IFERROR(_xlfn.XLOOKUP(IF(LEFT(UPPER(K368),4)="REV-","REV-"&amp;VALUE(MID(K368,5,99)),IF(LEN(K368)=5,LEFT(K368,2)&amp;"."&amp;RIGHT(K368,3),K368)),verfvoorraad!E:E,verfvoorraad!G:G),"Niet gevonden")))</f>
        <v/>
      </c>
      <c r="Q368" t="str">
        <f t="shared" si="10"/>
        <v/>
      </c>
      <c r="R368" t="str">
        <f t="shared" si="11"/>
        <v/>
      </c>
    </row>
    <row r="369" spans="6:18" x14ac:dyDescent="0.25">
      <c r="F369"/>
      <c r="G369" s="20"/>
      <c r="H369" s="21"/>
      <c r="K369" s="23"/>
      <c r="L369" t="str">
        <f>IF(K369="","",IFERROR(_xlfn.XLOOKUP(K369,verfvoorraad!C:C,verfvoorraad!B:B),IFERROR(_xlfn.XLOOKUP(IF(LEFT(UPPER(K369),4)="REV-","REV-"&amp;VALUE(MID(K369,5,99)),IF(LEN(K369)=5,LEFT(K369,2)&amp;"."&amp;RIGHT(K369,3),K369)),verfvoorraad!E:E,verfvoorraad!B:B),"Niet gevonden")))</f>
        <v/>
      </c>
      <c r="M369" t="str">
        <f>IF(K369="","",IFERROR(_xlfn.XLOOKUP(K369,verfvoorraad!C:C,verfvoorraad!D:D),IFERROR(_xlfn.XLOOKUP(IF(LEFT(UPPER(K369),4)="REV-","REV-"&amp;VALUE(MID(K369,5,99)),IF(LEN(K369)=5,LEFT(K369,2)&amp;"."&amp;RIGHT(K369,3),K369)),verfvoorraad!E:E,verfvoorraad!D:D),"Niet gevonden")))</f>
        <v/>
      </c>
      <c r="N369" t="str">
        <f>IF(K369="","",IFERROR(_xlfn.XLOOKUP(K369,verfvoorraad!C:C,verfvoorraad!E:E),IFERROR(_xlfn.XLOOKUP(IF(LEFT(UPPER(K369),4)="REV-","REV-"&amp;VALUE(MID(K369,5,99)),IF(LEN(K369)=5,LEFT(K369,2)&amp;"."&amp;RIGHT(K369,3),K369)),verfvoorraad!E:E,verfvoorraad!E:E),"Niet gevonden")))</f>
        <v/>
      </c>
      <c r="O369" t="str">
        <f>IF(K369="","",IFERROR(_xlfn.XLOOKUP(K369,verfvoorraad!C:C,verfvoorraad!F:F),IFERROR(_xlfn.XLOOKUP(IF(LEFT(UPPER(K369),4)="REV-","REV-"&amp;VALUE(MID(K369,5,99)),IF(LEN(K369)=5,LEFT(K369,2)&amp;"."&amp;RIGHT(K369,3),K369)),verfvoorraad!E:E,verfvoorraad!F:F),"Niet gevonden")))</f>
        <v/>
      </c>
      <c r="P369" t="str">
        <f>IF(K369="","",IFERROR(_xlfn.XLOOKUP(K369,verfvoorraad!C:C,verfvoorraad!G:G),IFERROR(_xlfn.XLOOKUP(IF(LEFT(UPPER(K369),4)="REV-","REV-"&amp;VALUE(MID(K369,5,99)),IF(LEN(K369)=5,LEFT(K369,2)&amp;"."&amp;RIGHT(K369,3),K369)),verfvoorraad!E:E,verfvoorraad!G:G),"Niet gevonden")))</f>
        <v/>
      </c>
      <c r="Q369" t="str">
        <f t="shared" si="10"/>
        <v/>
      </c>
      <c r="R369" t="str">
        <f t="shared" si="11"/>
        <v/>
      </c>
    </row>
    <row r="370" spans="6:18" x14ac:dyDescent="0.25">
      <c r="F370"/>
      <c r="G370" s="20"/>
      <c r="H370" s="21"/>
      <c r="K370" s="23"/>
      <c r="L370" t="str">
        <f>IF(K370="","",IFERROR(_xlfn.XLOOKUP(K370,verfvoorraad!C:C,verfvoorraad!B:B),IFERROR(_xlfn.XLOOKUP(IF(LEFT(UPPER(K370),4)="REV-","REV-"&amp;VALUE(MID(K370,5,99)),IF(LEN(K370)=5,LEFT(K370,2)&amp;"."&amp;RIGHT(K370,3),K370)),verfvoorraad!E:E,verfvoorraad!B:B),"Niet gevonden")))</f>
        <v/>
      </c>
      <c r="M370" t="str">
        <f>IF(K370="","",IFERROR(_xlfn.XLOOKUP(K370,verfvoorraad!C:C,verfvoorraad!D:D),IFERROR(_xlfn.XLOOKUP(IF(LEFT(UPPER(K370),4)="REV-","REV-"&amp;VALUE(MID(K370,5,99)),IF(LEN(K370)=5,LEFT(K370,2)&amp;"."&amp;RIGHT(K370,3),K370)),verfvoorraad!E:E,verfvoorraad!D:D),"Niet gevonden")))</f>
        <v/>
      </c>
      <c r="N370" t="str">
        <f>IF(K370="","",IFERROR(_xlfn.XLOOKUP(K370,verfvoorraad!C:C,verfvoorraad!E:E),IFERROR(_xlfn.XLOOKUP(IF(LEFT(UPPER(K370),4)="REV-","REV-"&amp;VALUE(MID(K370,5,99)),IF(LEN(K370)=5,LEFT(K370,2)&amp;"."&amp;RIGHT(K370,3),K370)),verfvoorraad!E:E,verfvoorraad!E:E),"Niet gevonden")))</f>
        <v/>
      </c>
      <c r="O370" t="str">
        <f>IF(K370="","",IFERROR(_xlfn.XLOOKUP(K370,verfvoorraad!C:C,verfvoorraad!F:F),IFERROR(_xlfn.XLOOKUP(IF(LEFT(UPPER(K370),4)="REV-","REV-"&amp;VALUE(MID(K370,5,99)),IF(LEN(K370)=5,LEFT(K370,2)&amp;"."&amp;RIGHT(K370,3),K370)),verfvoorraad!E:E,verfvoorraad!F:F),"Niet gevonden")))</f>
        <v/>
      </c>
      <c r="P370" t="str">
        <f>IF(K370="","",IFERROR(_xlfn.XLOOKUP(K370,verfvoorraad!C:C,verfvoorraad!G:G),IFERROR(_xlfn.XLOOKUP(IF(LEFT(UPPER(K370),4)="REV-","REV-"&amp;VALUE(MID(K370,5,99)),IF(LEN(K370)=5,LEFT(K370,2)&amp;"."&amp;RIGHT(K370,3),K370)),verfvoorraad!E:E,verfvoorraad!G:G),"Niet gevonden")))</f>
        <v/>
      </c>
      <c r="Q370" t="str">
        <f t="shared" si="10"/>
        <v/>
      </c>
      <c r="R370" t="str">
        <f t="shared" si="11"/>
        <v/>
      </c>
    </row>
    <row r="371" spans="6:18" x14ac:dyDescent="0.25">
      <c r="F371"/>
      <c r="G371" s="20"/>
      <c r="H371" s="21"/>
      <c r="K371" s="23"/>
      <c r="L371" t="str">
        <f>IF(K371="","",IFERROR(_xlfn.XLOOKUP(K371,verfvoorraad!C:C,verfvoorraad!B:B),IFERROR(_xlfn.XLOOKUP(IF(LEFT(UPPER(K371),4)="REV-","REV-"&amp;VALUE(MID(K371,5,99)),IF(LEN(K371)=5,LEFT(K371,2)&amp;"."&amp;RIGHT(K371,3),K371)),verfvoorraad!E:E,verfvoorraad!B:B),"Niet gevonden")))</f>
        <v/>
      </c>
      <c r="M371" t="str">
        <f>IF(K371="","",IFERROR(_xlfn.XLOOKUP(K371,verfvoorraad!C:C,verfvoorraad!D:D),IFERROR(_xlfn.XLOOKUP(IF(LEFT(UPPER(K371),4)="REV-","REV-"&amp;VALUE(MID(K371,5,99)),IF(LEN(K371)=5,LEFT(K371,2)&amp;"."&amp;RIGHT(K371,3),K371)),verfvoorraad!E:E,verfvoorraad!D:D),"Niet gevonden")))</f>
        <v/>
      </c>
      <c r="N371" t="str">
        <f>IF(K371="","",IFERROR(_xlfn.XLOOKUP(K371,verfvoorraad!C:C,verfvoorraad!E:E),IFERROR(_xlfn.XLOOKUP(IF(LEFT(UPPER(K371),4)="REV-","REV-"&amp;VALUE(MID(K371,5,99)),IF(LEN(K371)=5,LEFT(K371,2)&amp;"."&amp;RIGHT(K371,3),K371)),verfvoorraad!E:E,verfvoorraad!E:E),"Niet gevonden")))</f>
        <v/>
      </c>
      <c r="O371" t="str">
        <f>IF(K371="","",IFERROR(_xlfn.XLOOKUP(K371,verfvoorraad!C:C,verfvoorraad!F:F),IFERROR(_xlfn.XLOOKUP(IF(LEFT(UPPER(K371),4)="REV-","REV-"&amp;VALUE(MID(K371,5,99)),IF(LEN(K371)=5,LEFT(K371,2)&amp;"."&amp;RIGHT(K371,3),K371)),verfvoorraad!E:E,verfvoorraad!F:F),"Niet gevonden")))</f>
        <v/>
      </c>
      <c r="P371" t="str">
        <f>IF(K371="","",IFERROR(_xlfn.XLOOKUP(K371,verfvoorraad!C:C,verfvoorraad!G:G),IFERROR(_xlfn.XLOOKUP(IF(LEFT(UPPER(K371),4)="REV-","REV-"&amp;VALUE(MID(K371,5,99)),IF(LEN(K371)=5,LEFT(K371,2)&amp;"."&amp;RIGHT(K371,3),K371)),verfvoorraad!E:E,verfvoorraad!G:G),"Niet gevonden")))</f>
        <v/>
      </c>
      <c r="Q371" t="str">
        <f t="shared" si="10"/>
        <v/>
      </c>
      <c r="R371" t="str">
        <f t="shared" si="11"/>
        <v/>
      </c>
    </row>
    <row r="372" spans="6:18" x14ac:dyDescent="0.25">
      <c r="F372"/>
      <c r="G372" s="20"/>
      <c r="H372" s="21"/>
      <c r="K372" s="23"/>
      <c r="L372" t="str">
        <f>IF(K372="","",IFERROR(_xlfn.XLOOKUP(K372,verfvoorraad!C:C,verfvoorraad!B:B),IFERROR(_xlfn.XLOOKUP(IF(LEFT(UPPER(K372),4)="REV-","REV-"&amp;VALUE(MID(K372,5,99)),IF(LEN(K372)=5,LEFT(K372,2)&amp;"."&amp;RIGHT(K372,3),K372)),verfvoorraad!E:E,verfvoorraad!B:B),"Niet gevonden")))</f>
        <v/>
      </c>
      <c r="M372" t="str">
        <f>IF(K372="","",IFERROR(_xlfn.XLOOKUP(K372,verfvoorraad!C:C,verfvoorraad!D:D),IFERROR(_xlfn.XLOOKUP(IF(LEFT(UPPER(K372),4)="REV-","REV-"&amp;VALUE(MID(K372,5,99)),IF(LEN(K372)=5,LEFT(K372,2)&amp;"."&amp;RIGHT(K372,3),K372)),verfvoorraad!E:E,verfvoorraad!D:D),"Niet gevonden")))</f>
        <v/>
      </c>
      <c r="N372" t="str">
        <f>IF(K372="","",IFERROR(_xlfn.XLOOKUP(K372,verfvoorraad!C:C,verfvoorraad!E:E),IFERROR(_xlfn.XLOOKUP(IF(LEFT(UPPER(K372),4)="REV-","REV-"&amp;VALUE(MID(K372,5,99)),IF(LEN(K372)=5,LEFT(K372,2)&amp;"."&amp;RIGHT(K372,3),K372)),verfvoorraad!E:E,verfvoorraad!E:E),"Niet gevonden")))</f>
        <v/>
      </c>
      <c r="O372" t="str">
        <f>IF(K372="","",IFERROR(_xlfn.XLOOKUP(K372,verfvoorraad!C:C,verfvoorraad!F:F),IFERROR(_xlfn.XLOOKUP(IF(LEFT(UPPER(K372),4)="REV-","REV-"&amp;VALUE(MID(K372,5,99)),IF(LEN(K372)=5,LEFT(K372,2)&amp;"."&amp;RIGHT(K372,3),K372)),verfvoorraad!E:E,verfvoorraad!F:F),"Niet gevonden")))</f>
        <v/>
      </c>
      <c r="P372" t="str">
        <f>IF(K372="","",IFERROR(_xlfn.XLOOKUP(K372,verfvoorraad!C:C,verfvoorraad!G:G),IFERROR(_xlfn.XLOOKUP(IF(LEFT(UPPER(K372),4)="REV-","REV-"&amp;VALUE(MID(K372,5,99)),IF(LEN(K372)=5,LEFT(K372,2)&amp;"."&amp;RIGHT(K372,3),K372)),verfvoorraad!E:E,verfvoorraad!G:G),"Niet gevonden")))</f>
        <v/>
      </c>
      <c r="Q372" t="str">
        <f t="shared" si="10"/>
        <v/>
      </c>
      <c r="R372" t="str">
        <f t="shared" si="11"/>
        <v/>
      </c>
    </row>
    <row r="373" spans="6:18" x14ac:dyDescent="0.25">
      <c r="F373"/>
      <c r="G373" s="20"/>
      <c r="H373" s="21"/>
      <c r="K373" s="23"/>
      <c r="L373" t="str">
        <f>IF(K373="","",IFERROR(_xlfn.XLOOKUP(K373,verfvoorraad!C:C,verfvoorraad!B:B),IFERROR(_xlfn.XLOOKUP(IF(LEFT(UPPER(K373),4)="REV-","REV-"&amp;VALUE(MID(K373,5,99)),IF(LEN(K373)=5,LEFT(K373,2)&amp;"."&amp;RIGHT(K373,3),K373)),verfvoorraad!E:E,verfvoorraad!B:B),"Niet gevonden")))</f>
        <v/>
      </c>
      <c r="M373" t="str">
        <f>IF(K373="","",IFERROR(_xlfn.XLOOKUP(K373,verfvoorraad!C:C,verfvoorraad!D:D),IFERROR(_xlfn.XLOOKUP(IF(LEFT(UPPER(K373),4)="REV-","REV-"&amp;VALUE(MID(K373,5,99)),IF(LEN(K373)=5,LEFT(K373,2)&amp;"."&amp;RIGHT(K373,3),K373)),verfvoorraad!E:E,verfvoorraad!D:D),"Niet gevonden")))</f>
        <v/>
      </c>
      <c r="N373" t="str">
        <f>IF(K373="","",IFERROR(_xlfn.XLOOKUP(K373,verfvoorraad!C:C,verfvoorraad!E:E),IFERROR(_xlfn.XLOOKUP(IF(LEFT(UPPER(K373),4)="REV-","REV-"&amp;VALUE(MID(K373,5,99)),IF(LEN(K373)=5,LEFT(K373,2)&amp;"."&amp;RIGHT(K373,3),K373)),verfvoorraad!E:E,verfvoorraad!E:E),"Niet gevonden")))</f>
        <v/>
      </c>
      <c r="O373" t="str">
        <f>IF(K373="","",IFERROR(_xlfn.XLOOKUP(K373,verfvoorraad!C:C,verfvoorraad!F:F),IFERROR(_xlfn.XLOOKUP(IF(LEFT(UPPER(K373),4)="REV-","REV-"&amp;VALUE(MID(K373,5,99)),IF(LEN(K373)=5,LEFT(K373,2)&amp;"."&amp;RIGHT(K373,3),K373)),verfvoorraad!E:E,verfvoorraad!F:F),"Niet gevonden")))</f>
        <v/>
      </c>
      <c r="P373" t="str">
        <f>IF(K373="","",IFERROR(_xlfn.XLOOKUP(K373,verfvoorraad!C:C,verfvoorraad!G:G),IFERROR(_xlfn.XLOOKUP(IF(LEFT(UPPER(K373),4)="REV-","REV-"&amp;VALUE(MID(K373,5,99)),IF(LEN(K373)=5,LEFT(K373,2)&amp;"."&amp;RIGHT(K373,3),K373)),verfvoorraad!E:E,verfvoorraad!G:G),"Niet gevonden")))</f>
        <v/>
      </c>
      <c r="Q373" t="str">
        <f t="shared" si="10"/>
        <v/>
      </c>
      <c r="R373" t="str">
        <f t="shared" si="11"/>
        <v/>
      </c>
    </row>
    <row r="374" spans="6:18" x14ac:dyDescent="0.25">
      <c r="F374"/>
      <c r="G374" s="20"/>
      <c r="H374" s="21"/>
      <c r="K374" s="23"/>
      <c r="L374" t="str">
        <f>IF(K374="","",IFERROR(_xlfn.XLOOKUP(K374,verfvoorraad!C:C,verfvoorraad!B:B),IFERROR(_xlfn.XLOOKUP(IF(LEFT(UPPER(K374),4)="REV-","REV-"&amp;VALUE(MID(K374,5,99)),IF(LEN(K374)=5,LEFT(K374,2)&amp;"."&amp;RIGHT(K374,3),K374)),verfvoorraad!E:E,verfvoorraad!B:B),"Niet gevonden")))</f>
        <v/>
      </c>
      <c r="M374" t="str">
        <f>IF(K374="","",IFERROR(_xlfn.XLOOKUP(K374,verfvoorraad!C:C,verfvoorraad!D:D),IFERROR(_xlfn.XLOOKUP(IF(LEFT(UPPER(K374),4)="REV-","REV-"&amp;VALUE(MID(K374,5,99)),IF(LEN(K374)=5,LEFT(K374,2)&amp;"."&amp;RIGHT(K374,3),K374)),verfvoorraad!E:E,verfvoorraad!D:D),"Niet gevonden")))</f>
        <v/>
      </c>
      <c r="N374" t="str">
        <f>IF(K374="","",IFERROR(_xlfn.XLOOKUP(K374,verfvoorraad!C:C,verfvoorraad!E:E),IFERROR(_xlfn.XLOOKUP(IF(LEFT(UPPER(K374),4)="REV-","REV-"&amp;VALUE(MID(K374,5,99)),IF(LEN(K374)=5,LEFT(K374,2)&amp;"."&amp;RIGHT(K374,3),K374)),verfvoorraad!E:E,verfvoorraad!E:E),"Niet gevonden")))</f>
        <v/>
      </c>
      <c r="O374" t="str">
        <f>IF(K374="","",IFERROR(_xlfn.XLOOKUP(K374,verfvoorraad!C:C,verfvoorraad!F:F),IFERROR(_xlfn.XLOOKUP(IF(LEFT(UPPER(K374),4)="REV-","REV-"&amp;VALUE(MID(K374,5,99)),IF(LEN(K374)=5,LEFT(K374,2)&amp;"."&amp;RIGHT(K374,3),K374)),verfvoorraad!E:E,verfvoorraad!F:F),"Niet gevonden")))</f>
        <v/>
      </c>
      <c r="P374" t="str">
        <f>IF(K374="","",IFERROR(_xlfn.XLOOKUP(K374,verfvoorraad!C:C,verfvoorraad!G:G),IFERROR(_xlfn.XLOOKUP(IF(LEFT(UPPER(K374),4)="REV-","REV-"&amp;VALUE(MID(K374,5,99)),IF(LEN(K374)=5,LEFT(K374,2)&amp;"."&amp;RIGHT(K374,3),K374)),verfvoorraad!E:E,verfvoorraad!G:G),"Niet gevonden")))</f>
        <v/>
      </c>
      <c r="Q374" t="str">
        <f t="shared" si="10"/>
        <v/>
      </c>
      <c r="R374" t="str">
        <f t="shared" si="11"/>
        <v/>
      </c>
    </row>
    <row r="375" spans="6:18" x14ac:dyDescent="0.25">
      <c r="F375"/>
      <c r="G375" s="20"/>
      <c r="H375" s="21"/>
      <c r="K375" s="23"/>
      <c r="L375" t="str">
        <f>IF(K375="","",IFERROR(_xlfn.XLOOKUP(K375,verfvoorraad!C:C,verfvoorraad!B:B),IFERROR(_xlfn.XLOOKUP(IF(LEFT(UPPER(K375),4)="REV-","REV-"&amp;VALUE(MID(K375,5,99)),IF(LEN(K375)=5,LEFT(K375,2)&amp;"."&amp;RIGHT(K375,3),K375)),verfvoorraad!E:E,verfvoorraad!B:B),"Niet gevonden")))</f>
        <v/>
      </c>
      <c r="M375" t="str">
        <f>IF(K375="","",IFERROR(_xlfn.XLOOKUP(K375,verfvoorraad!C:C,verfvoorraad!D:D),IFERROR(_xlfn.XLOOKUP(IF(LEFT(UPPER(K375),4)="REV-","REV-"&amp;VALUE(MID(K375,5,99)),IF(LEN(K375)=5,LEFT(K375,2)&amp;"."&amp;RIGHT(K375,3),K375)),verfvoorraad!E:E,verfvoorraad!D:D),"Niet gevonden")))</f>
        <v/>
      </c>
      <c r="N375" t="str">
        <f>IF(K375="","",IFERROR(_xlfn.XLOOKUP(K375,verfvoorraad!C:C,verfvoorraad!E:E),IFERROR(_xlfn.XLOOKUP(IF(LEFT(UPPER(K375),4)="REV-","REV-"&amp;VALUE(MID(K375,5,99)),IF(LEN(K375)=5,LEFT(K375,2)&amp;"."&amp;RIGHT(K375,3),K375)),verfvoorraad!E:E,verfvoorraad!E:E),"Niet gevonden")))</f>
        <v/>
      </c>
      <c r="O375" t="str">
        <f>IF(K375="","",IFERROR(_xlfn.XLOOKUP(K375,verfvoorraad!C:C,verfvoorraad!F:F),IFERROR(_xlfn.XLOOKUP(IF(LEFT(UPPER(K375),4)="REV-","REV-"&amp;VALUE(MID(K375,5,99)),IF(LEN(K375)=5,LEFT(K375,2)&amp;"."&amp;RIGHT(K375,3),K375)),verfvoorraad!E:E,verfvoorraad!F:F),"Niet gevonden")))</f>
        <v/>
      </c>
      <c r="P375" t="str">
        <f>IF(K375="","",IFERROR(_xlfn.XLOOKUP(K375,verfvoorraad!C:C,verfvoorraad!G:G),IFERROR(_xlfn.XLOOKUP(IF(LEFT(UPPER(K375),4)="REV-","REV-"&amp;VALUE(MID(K375,5,99)),IF(LEN(K375)=5,LEFT(K375,2)&amp;"."&amp;RIGHT(K375,3),K375)),verfvoorraad!E:E,verfvoorraad!G:G),"Niet gevonden")))</f>
        <v/>
      </c>
      <c r="Q375" t="str">
        <f t="shared" si="10"/>
        <v/>
      </c>
      <c r="R375" t="str">
        <f t="shared" si="11"/>
        <v/>
      </c>
    </row>
    <row r="376" spans="6:18" x14ac:dyDescent="0.25">
      <c r="F376"/>
      <c r="G376" s="20"/>
      <c r="H376" s="21"/>
      <c r="K376" s="23"/>
      <c r="L376" t="str">
        <f>IF(K376="","",IFERROR(_xlfn.XLOOKUP(K376,verfvoorraad!C:C,verfvoorraad!B:B),IFERROR(_xlfn.XLOOKUP(IF(LEFT(UPPER(K376),4)="REV-","REV-"&amp;VALUE(MID(K376,5,99)),IF(LEN(K376)=5,LEFT(K376,2)&amp;"."&amp;RIGHT(K376,3),K376)),verfvoorraad!E:E,verfvoorraad!B:B),"Niet gevonden")))</f>
        <v/>
      </c>
      <c r="M376" t="str">
        <f>IF(K376="","",IFERROR(_xlfn.XLOOKUP(K376,verfvoorraad!C:C,verfvoorraad!D:D),IFERROR(_xlfn.XLOOKUP(IF(LEFT(UPPER(K376),4)="REV-","REV-"&amp;VALUE(MID(K376,5,99)),IF(LEN(K376)=5,LEFT(K376,2)&amp;"."&amp;RIGHT(K376,3),K376)),verfvoorraad!E:E,verfvoorraad!D:D),"Niet gevonden")))</f>
        <v/>
      </c>
      <c r="N376" t="str">
        <f>IF(K376="","",IFERROR(_xlfn.XLOOKUP(K376,verfvoorraad!C:C,verfvoorraad!E:E),IFERROR(_xlfn.XLOOKUP(IF(LEFT(UPPER(K376),4)="REV-","REV-"&amp;VALUE(MID(K376,5,99)),IF(LEN(K376)=5,LEFT(K376,2)&amp;"."&amp;RIGHT(K376,3),K376)),verfvoorraad!E:E,verfvoorraad!E:E),"Niet gevonden")))</f>
        <v/>
      </c>
      <c r="O376" t="str">
        <f>IF(K376="","",IFERROR(_xlfn.XLOOKUP(K376,verfvoorraad!C:C,verfvoorraad!F:F),IFERROR(_xlfn.XLOOKUP(IF(LEFT(UPPER(K376),4)="REV-","REV-"&amp;VALUE(MID(K376,5,99)),IF(LEN(K376)=5,LEFT(K376,2)&amp;"."&amp;RIGHT(K376,3),K376)),verfvoorraad!E:E,verfvoorraad!F:F),"Niet gevonden")))</f>
        <v/>
      </c>
      <c r="P376" t="str">
        <f>IF(K376="","",IFERROR(_xlfn.XLOOKUP(K376,verfvoorraad!C:C,verfvoorraad!G:G),IFERROR(_xlfn.XLOOKUP(IF(LEFT(UPPER(K376),4)="REV-","REV-"&amp;VALUE(MID(K376,5,99)),IF(LEN(K376)=5,LEFT(K376,2)&amp;"."&amp;RIGHT(K376,3),K376)),verfvoorraad!E:E,verfvoorraad!G:G),"Niet gevonden")))</f>
        <v/>
      </c>
      <c r="Q376" t="str">
        <f t="shared" si="10"/>
        <v/>
      </c>
      <c r="R376" t="str">
        <f t="shared" si="11"/>
        <v/>
      </c>
    </row>
    <row r="377" spans="6:18" x14ac:dyDescent="0.25">
      <c r="F377"/>
      <c r="G377" s="20"/>
      <c r="H377" s="21"/>
      <c r="K377" s="23"/>
      <c r="L377" t="str">
        <f>IF(K377="","",IFERROR(_xlfn.XLOOKUP(K377,verfvoorraad!C:C,verfvoorraad!B:B),IFERROR(_xlfn.XLOOKUP(IF(LEFT(UPPER(K377),4)="REV-","REV-"&amp;VALUE(MID(K377,5,99)),IF(LEN(K377)=5,LEFT(K377,2)&amp;"."&amp;RIGHT(K377,3),K377)),verfvoorraad!E:E,verfvoorraad!B:B),"Niet gevonden")))</f>
        <v/>
      </c>
      <c r="M377" t="str">
        <f>IF(K377="","",IFERROR(_xlfn.XLOOKUP(K377,verfvoorraad!C:C,verfvoorraad!D:D),IFERROR(_xlfn.XLOOKUP(IF(LEFT(UPPER(K377),4)="REV-","REV-"&amp;VALUE(MID(K377,5,99)),IF(LEN(K377)=5,LEFT(K377,2)&amp;"."&amp;RIGHT(K377,3),K377)),verfvoorraad!E:E,verfvoorraad!D:D),"Niet gevonden")))</f>
        <v/>
      </c>
      <c r="N377" t="str">
        <f>IF(K377="","",IFERROR(_xlfn.XLOOKUP(K377,verfvoorraad!C:C,verfvoorraad!E:E),IFERROR(_xlfn.XLOOKUP(IF(LEFT(UPPER(K377),4)="REV-","REV-"&amp;VALUE(MID(K377,5,99)),IF(LEN(K377)=5,LEFT(K377,2)&amp;"."&amp;RIGHT(K377,3),K377)),verfvoorraad!E:E,verfvoorraad!E:E),"Niet gevonden")))</f>
        <v/>
      </c>
      <c r="O377" t="str">
        <f>IF(K377="","",IFERROR(_xlfn.XLOOKUP(K377,verfvoorraad!C:C,verfvoorraad!F:F),IFERROR(_xlfn.XLOOKUP(IF(LEFT(UPPER(K377),4)="REV-","REV-"&amp;VALUE(MID(K377,5,99)),IF(LEN(K377)=5,LEFT(K377,2)&amp;"."&amp;RIGHT(K377,3),K377)),verfvoorraad!E:E,verfvoorraad!F:F),"Niet gevonden")))</f>
        <v/>
      </c>
      <c r="P377" t="str">
        <f>IF(K377="","",IFERROR(_xlfn.XLOOKUP(K377,verfvoorraad!C:C,verfvoorraad!G:G),IFERROR(_xlfn.XLOOKUP(IF(LEFT(UPPER(K377),4)="REV-","REV-"&amp;VALUE(MID(K377,5,99)),IF(LEN(K377)=5,LEFT(K377,2)&amp;"."&amp;RIGHT(K377,3),K377)),verfvoorraad!E:E,verfvoorraad!G:G),"Niet gevonden")))</f>
        <v/>
      </c>
      <c r="Q377" t="str">
        <f t="shared" si="10"/>
        <v/>
      </c>
      <c r="R377" t="str">
        <f t="shared" si="11"/>
        <v/>
      </c>
    </row>
    <row r="378" spans="6:18" x14ac:dyDescent="0.25">
      <c r="F378"/>
      <c r="G378" s="20"/>
      <c r="H378" s="21"/>
      <c r="K378" s="23"/>
      <c r="L378" t="str">
        <f>IF(K378="","",IFERROR(_xlfn.XLOOKUP(K378,verfvoorraad!C:C,verfvoorraad!B:B),IFERROR(_xlfn.XLOOKUP(IF(LEFT(UPPER(K378),4)="REV-","REV-"&amp;VALUE(MID(K378,5,99)),IF(LEN(K378)=5,LEFT(K378,2)&amp;"."&amp;RIGHT(K378,3),K378)),verfvoorraad!E:E,verfvoorraad!B:B),"Niet gevonden")))</f>
        <v/>
      </c>
      <c r="M378" t="str">
        <f>IF(K378="","",IFERROR(_xlfn.XLOOKUP(K378,verfvoorraad!C:C,verfvoorraad!D:D),IFERROR(_xlfn.XLOOKUP(IF(LEFT(UPPER(K378),4)="REV-","REV-"&amp;VALUE(MID(K378,5,99)),IF(LEN(K378)=5,LEFT(K378,2)&amp;"."&amp;RIGHT(K378,3),K378)),verfvoorraad!E:E,verfvoorraad!D:D),"Niet gevonden")))</f>
        <v/>
      </c>
      <c r="N378" t="str">
        <f>IF(K378="","",IFERROR(_xlfn.XLOOKUP(K378,verfvoorraad!C:C,verfvoorraad!E:E),IFERROR(_xlfn.XLOOKUP(IF(LEFT(UPPER(K378),4)="REV-","REV-"&amp;VALUE(MID(K378,5,99)),IF(LEN(K378)=5,LEFT(K378,2)&amp;"."&amp;RIGHT(K378,3),K378)),verfvoorraad!E:E,verfvoorraad!E:E),"Niet gevonden")))</f>
        <v/>
      </c>
      <c r="O378" t="str">
        <f>IF(K378="","",IFERROR(_xlfn.XLOOKUP(K378,verfvoorraad!C:C,verfvoorraad!F:F),IFERROR(_xlfn.XLOOKUP(IF(LEFT(UPPER(K378),4)="REV-","REV-"&amp;VALUE(MID(K378,5,99)),IF(LEN(K378)=5,LEFT(K378,2)&amp;"."&amp;RIGHT(K378,3),K378)),verfvoorraad!E:E,verfvoorraad!F:F),"Niet gevonden")))</f>
        <v/>
      </c>
      <c r="P378" t="str">
        <f>IF(K378="","",IFERROR(_xlfn.XLOOKUP(K378,verfvoorraad!C:C,verfvoorraad!G:G),IFERROR(_xlfn.XLOOKUP(IF(LEFT(UPPER(K378),4)="REV-","REV-"&amp;VALUE(MID(K378,5,99)),IF(LEN(K378)=5,LEFT(K378,2)&amp;"."&amp;RIGHT(K378,3),K378)),verfvoorraad!E:E,verfvoorraad!G:G),"Niet gevonden")))</f>
        <v/>
      </c>
      <c r="Q378" t="str">
        <f t="shared" si="10"/>
        <v/>
      </c>
      <c r="R378" t="str">
        <f t="shared" si="11"/>
        <v/>
      </c>
    </row>
    <row r="379" spans="6:18" x14ac:dyDescent="0.25">
      <c r="F379"/>
      <c r="G379" s="20"/>
      <c r="H379" s="21"/>
      <c r="K379" s="23"/>
      <c r="L379" t="str">
        <f>IF(K379="","",IFERROR(_xlfn.XLOOKUP(K379,verfvoorraad!C:C,verfvoorraad!B:B),IFERROR(_xlfn.XLOOKUP(IF(LEFT(UPPER(K379),4)="REV-","REV-"&amp;VALUE(MID(K379,5,99)),IF(LEN(K379)=5,LEFT(K379,2)&amp;"."&amp;RIGHT(K379,3),K379)),verfvoorraad!E:E,verfvoorraad!B:B),"Niet gevonden")))</f>
        <v/>
      </c>
      <c r="M379" t="str">
        <f>IF(K379="","",IFERROR(_xlfn.XLOOKUP(K379,verfvoorraad!C:C,verfvoorraad!D:D),IFERROR(_xlfn.XLOOKUP(IF(LEFT(UPPER(K379),4)="REV-","REV-"&amp;VALUE(MID(K379,5,99)),IF(LEN(K379)=5,LEFT(K379,2)&amp;"."&amp;RIGHT(K379,3),K379)),verfvoorraad!E:E,verfvoorraad!D:D),"Niet gevonden")))</f>
        <v/>
      </c>
      <c r="N379" t="str">
        <f>IF(K379="","",IFERROR(_xlfn.XLOOKUP(K379,verfvoorraad!C:C,verfvoorraad!E:E),IFERROR(_xlfn.XLOOKUP(IF(LEFT(UPPER(K379),4)="REV-","REV-"&amp;VALUE(MID(K379,5,99)),IF(LEN(K379)=5,LEFT(K379,2)&amp;"."&amp;RIGHT(K379,3),K379)),verfvoorraad!E:E,verfvoorraad!E:E),"Niet gevonden")))</f>
        <v/>
      </c>
      <c r="O379" t="str">
        <f>IF(K379="","",IFERROR(_xlfn.XLOOKUP(K379,verfvoorraad!C:C,verfvoorraad!F:F),IFERROR(_xlfn.XLOOKUP(IF(LEFT(UPPER(K379),4)="REV-","REV-"&amp;VALUE(MID(K379,5,99)),IF(LEN(K379)=5,LEFT(K379,2)&amp;"."&amp;RIGHT(K379,3),K379)),verfvoorraad!E:E,verfvoorraad!F:F),"Niet gevonden")))</f>
        <v/>
      </c>
      <c r="P379" t="str">
        <f>IF(K379="","",IFERROR(_xlfn.XLOOKUP(K379,verfvoorraad!C:C,verfvoorraad!G:G),IFERROR(_xlfn.XLOOKUP(IF(LEFT(UPPER(K379),4)="REV-","REV-"&amp;VALUE(MID(K379,5,99)),IF(LEN(K379)=5,LEFT(K379,2)&amp;"."&amp;RIGHT(K379,3),K379)),verfvoorraad!E:E,verfvoorraad!G:G),"Niet gevonden")))</f>
        <v/>
      </c>
      <c r="Q379" t="str">
        <f t="shared" si="10"/>
        <v/>
      </c>
      <c r="R379" t="str">
        <f t="shared" si="11"/>
        <v/>
      </c>
    </row>
    <row r="380" spans="6:18" x14ac:dyDescent="0.25">
      <c r="F380"/>
      <c r="G380" s="20"/>
      <c r="H380" s="21"/>
      <c r="K380" s="23"/>
      <c r="L380" t="str">
        <f>IF(K380="","",IFERROR(_xlfn.XLOOKUP(K380,verfvoorraad!C:C,verfvoorraad!B:B),IFERROR(_xlfn.XLOOKUP(IF(LEFT(UPPER(K380),4)="REV-","REV-"&amp;VALUE(MID(K380,5,99)),IF(LEN(K380)=5,LEFT(K380,2)&amp;"."&amp;RIGHT(K380,3),K380)),verfvoorraad!E:E,verfvoorraad!B:B),"Niet gevonden")))</f>
        <v/>
      </c>
      <c r="M380" t="str">
        <f>IF(K380="","",IFERROR(_xlfn.XLOOKUP(K380,verfvoorraad!C:C,verfvoorraad!D:D),IFERROR(_xlfn.XLOOKUP(IF(LEFT(UPPER(K380),4)="REV-","REV-"&amp;VALUE(MID(K380,5,99)),IF(LEN(K380)=5,LEFT(K380,2)&amp;"."&amp;RIGHT(K380,3),K380)),verfvoorraad!E:E,verfvoorraad!D:D),"Niet gevonden")))</f>
        <v/>
      </c>
      <c r="N380" t="str">
        <f>IF(K380="","",IFERROR(_xlfn.XLOOKUP(K380,verfvoorraad!C:C,verfvoorraad!E:E),IFERROR(_xlfn.XLOOKUP(IF(LEFT(UPPER(K380),4)="REV-","REV-"&amp;VALUE(MID(K380,5,99)),IF(LEN(K380)=5,LEFT(K380,2)&amp;"."&amp;RIGHT(K380,3),K380)),verfvoorraad!E:E,verfvoorraad!E:E),"Niet gevonden")))</f>
        <v/>
      </c>
      <c r="O380" t="str">
        <f>IF(K380="","",IFERROR(_xlfn.XLOOKUP(K380,verfvoorraad!C:C,verfvoorraad!F:F),IFERROR(_xlfn.XLOOKUP(IF(LEFT(UPPER(K380),4)="REV-","REV-"&amp;VALUE(MID(K380,5,99)),IF(LEN(K380)=5,LEFT(K380,2)&amp;"."&amp;RIGHT(K380,3),K380)),verfvoorraad!E:E,verfvoorraad!F:F),"Niet gevonden")))</f>
        <v/>
      </c>
      <c r="P380" t="str">
        <f>IF(K380="","",IFERROR(_xlfn.XLOOKUP(K380,verfvoorraad!C:C,verfvoorraad!G:G),IFERROR(_xlfn.XLOOKUP(IF(LEFT(UPPER(K380),4)="REV-","REV-"&amp;VALUE(MID(K380,5,99)),IF(LEN(K380)=5,LEFT(K380,2)&amp;"."&amp;RIGHT(K380,3),K380)),verfvoorraad!E:E,verfvoorraad!G:G),"Niet gevonden")))</f>
        <v/>
      </c>
      <c r="Q380" t="str">
        <f t="shared" si="10"/>
        <v/>
      </c>
      <c r="R380" t="str">
        <f t="shared" si="11"/>
        <v/>
      </c>
    </row>
    <row r="381" spans="6:18" x14ac:dyDescent="0.25">
      <c r="F381"/>
      <c r="G381" s="20"/>
      <c r="H381" s="21"/>
      <c r="K381" s="23"/>
      <c r="L381" t="str">
        <f>IF(K381="","",IFERROR(_xlfn.XLOOKUP(K381,verfvoorraad!C:C,verfvoorraad!B:B),IFERROR(_xlfn.XLOOKUP(IF(LEFT(UPPER(K381),4)="REV-","REV-"&amp;VALUE(MID(K381,5,99)),IF(LEN(K381)=5,LEFT(K381,2)&amp;"."&amp;RIGHT(K381,3),K381)),verfvoorraad!E:E,verfvoorraad!B:B),"Niet gevonden")))</f>
        <v/>
      </c>
      <c r="M381" t="str">
        <f>IF(K381="","",IFERROR(_xlfn.XLOOKUP(K381,verfvoorraad!C:C,verfvoorraad!D:D),IFERROR(_xlfn.XLOOKUP(IF(LEFT(UPPER(K381),4)="REV-","REV-"&amp;VALUE(MID(K381,5,99)),IF(LEN(K381)=5,LEFT(K381,2)&amp;"."&amp;RIGHT(K381,3),K381)),verfvoorraad!E:E,verfvoorraad!D:D),"Niet gevonden")))</f>
        <v/>
      </c>
      <c r="N381" t="str">
        <f>IF(K381="","",IFERROR(_xlfn.XLOOKUP(K381,verfvoorraad!C:C,verfvoorraad!E:E),IFERROR(_xlfn.XLOOKUP(IF(LEFT(UPPER(K381),4)="REV-","REV-"&amp;VALUE(MID(K381,5,99)),IF(LEN(K381)=5,LEFT(K381,2)&amp;"."&amp;RIGHT(K381,3),K381)),verfvoorraad!E:E,verfvoorraad!E:E),"Niet gevonden")))</f>
        <v/>
      </c>
      <c r="O381" t="str">
        <f>IF(K381="","",IFERROR(_xlfn.XLOOKUP(K381,verfvoorraad!C:C,verfvoorraad!F:F),IFERROR(_xlfn.XLOOKUP(IF(LEFT(UPPER(K381),4)="REV-","REV-"&amp;VALUE(MID(K381,5,99)),IF(LEN(K381)=5,LEFT(K381,2)&amp;"."&amp;RIGHT(K381,3),K381)),verfvoorraad!E:E,verfvoorraad!F:F),"Niet gevonden")))</f>
        <v/>
      </c>
      <c r="P381" t="str">
        <f>IF(K381="","",IFERROR(_xlfn.XLOOKUP(K381,verfvoorraad!C:C,verfvoorraad!G:G),IFERROR(_xlfn.XLOOKUP(IF(LEFT(UPPER(K381),4)="REV-","REV-"&amp;VALUE(MID(K381,5,99)),IF(LEN(K381)=5,LEFT(K381,2)&amp;"."&amp;RIGHT(K381,3),K381)),verfvoorraad!E:E,verfvoorraad!G:G),"Niet gevonden")))</f>
        <v/>
      </c>
      <c r="Q381" t="str">
        <f t="shared" si="10"/>
        <v/>
      </c>
      <c r="R381" t="str">
        <f t="shared" si="11"/>
        <v/>
      </c>
    </row>
    <row r="382" spans="6:18" x14ac:dyDescent="0.25">
      <c r="F382"/>
      <c r="G382" s="20"/>
      <c r="H382" s="21"/>
      <c r="K382" s="23"/>
      <c r="L382" t="str">
        <f>IF(K382="","",IFERROR(_xlfn.XLOOKUP(K382,verfvoorraad!C:C,verfvoorraad!B:B),IFERROR(_xlfn.XLOOKUP(IF(LEFT(UPPER(K382),4)="REV-","REV-"&amp;VALUE(MID(K382,5,99)),IF(LEN(K382)=5,LEFT(K382,2)&amp;"."&amp;RIGHT(K382,3),K382)),verfvoorraad!E:E,verfvoorraad!B:B),"Niet gevonden")))</f>
        <v/>
      </c>
      <c r="M382" t="str">
        <f>IF(K382="","",IFERROR(_xlfn.XLOOKUP(K382,verfvoorraad!C:C,verfvoorraad!D:D),IFERROR(_xlfn.XLOOKUP(IF(LEFT(UPPER(K382),4)="REV-","REV-"&amp;VALUE(MID(K382,5,99)),IF(LEN(K382)=5,LEFT(K382,2)&amp;"."&amp;RIGHT(K382,3),K382)),verfvoorraad!E:E,verfvoorraad!D:D),"Niet gevonden")))</f>
        <v/>
      </c>
      <c r="N382" t="str">
        <f>IF(K382="","",IFERROR(_xlfn.XLOOKUP(K382,verfvoorraad!C:C,verfvoorraad!E:E),IFERROR(_xlfn.XLOOKUP(IF(LEFT(UPPER(K382),4)="REV-","REV-"&amp;VALUE(MID(K382,5,99)),IF(LEN(K382)=5,LEFT(K382,2)&amp;"."&amp;RIGHT(K382,3),K382)),verfvoorraad!E:E,verfvoorraad!E:E),"Niet gevonden")))</f>
        <v/>
      </c>
      <c r="O382" t="str">
        <f>IF(K382="","",IFERROR(_xlfn.XLOOKUP(K382,verfvoorraad!C:C,verfvoorraad!F:F),IFERROR(_xlfn.XLOOKUP(IF(LEFT(UPPER(K382),4)="REV-","REV-"&amp;VALUE(MID(K382,5,99)),IF(LEN(K382)=5,LEFT(K382,2)&amp;"."&amp;RIGHT(K382,3),K382)),verfvoorraad!E:E,verfvoorraad!F:F),"Niet gevonden")))</f>
        <v/>
      </c>
      <c r="P382" t="str">
        <f>IF(K382="","",IFERROR(_xlfn.XLOOKUP(K382,verfvoorraad!C:C,verfvoorraad!G:G),IFERROR(_xlfn.XLOOKUP(IF(LEFT(UPPER(K382),4)="REV-","REV-"&amp;VALUE(MID(K382,5,99)),IF(LEN(K382)=5,LEFT(K382,2)&amp;"."&amp;RIGHT(K382,3),K382)),verfvoorraad!E:E,verfvoorraad!G:G),"Niet gevonden")))</f>
        <v/>
      </c>
      <c r="Q382" t="str">
        <f t="shared" si="10"/>
        <v/>
      </c>
      <c r="R382" t="str">
        <f t="shared" si="11"/>
        <v/>
      </c>
    </row>
    <row r="383" spans="6:18" x14ac:dyDescent="0.25">
      <c r="F383"/>
      <c r="G383" s="20"/>
      <c r="H383" s="21"/>
      <c r="K383" s="23"/>
      <c r="L383" t="str">
        <f>IF(K383="","",IFERROR(_xlfn.XLOOKUP(K383,verfvoorraad!C:C,verfvoorraad!B:B),IFERROR(_xlfn.XLOOKUP(IF(LEFT(UPPER(K383),4)="REV-","REV-"&amp;VALUE(MID(K383,5,99)),IF(LEN(K383)=5,LEFT(K383,2)&amp;"."&amp;RIGHT(K383,3),K383)),verfvoorraad!E:E,verfvoorraad!B:B),"Niet gevonden")))</f>
        <v/>
      </c>
      <c r="M383" t="str">
        <f>IF(K383="","",IFERROR(_xlfn.XLOOKUP(K383,verfvoorraad!C:C,verfvoorraad!D:D),IFERROR(_xlfn.XLOOKUP(IF(LEFT(UPPER(K383),4)="REV-","REV-"&amp;VALUE(MID(K383,5,99)),IF(LEN(K383)=5,LEFT(K383,2)&amp;"."&amp;RIGHT(K383,3),K383)),verfvoorraad!E:E,verfvoorraad!D:D),"Niet gevonden")))</f>
        <v/>
      </c>
      <c r="N383" t="str">
        <f>IF(K383="","",IFERROR(_xlfn.XLOOKUP(K383,verfvoorraad!C:C,verfvoorraad!E:E),IFERROR(_xlfn.XLOOKUP(IF(LEFT(UPPER(K383),4)="REV-","REV-"&amp;VALUE(MID(K383,5,99)),IF(LEN(K383)=5,LEFT(K383,2)&amp;"."&amp;RIGHT(K383,3),K383)),verfvoorraad!E:E,verfvoorraad!E:E),"Niet gevonden")))</f>
        <v/>
      </c>
      <c r="O383" t="str">
        <f>IF(K383="","",IFERROR(_xlfn.XLOOKUP(K383,verfvoorraad!C:C,verfvoorraad!F:F),IFERROR(_xlfn.XLOOKUP(IF(LEFT(UPPER(K383),4)="REV-","REV-"&amp;VALUE(MID(K383,5,99)),IF(LEN(K383)=5,LEFT(K383,2)&amp;"."&amp;RIGHT(K383,3),K383)),verfvoorraad!E:E,verfvoorraad!F:F),"Niet gevonden")))</f>
        <v/>
      </c>
      <c r="P383" t="str">
        <f>IF(K383="","",IFERROR(_xlfn.XLOOKUP(K383,verfvoorraad!C:C,verfvoorraad!G:G),IFERROR(_xlfn.XLOOKUP(IF(LEFT(UPPER(K383),4)="REV-","REV-"&amp;VALUE(MID(K383,5,99)),IF(LEN(K383)=5,LEFT(K383,2)&amp;"."&amp;RIGHT(K383,3),K383)),verfvoorraad!E:E,verfvoorraad!G:G),"Niet gevonden")))</f>
        <v/>
      </c>
      <c r="Q383" t="str">
        <f t="shared" si="10"/>
        <v/>
      </c>
      <c r="R383" t="str">
        <f t="shared" si="11"/>
        <v/>
      </c>
    </row>
    <row r="384" spans="6:18" x14ac:dyDescent="0.25">
      <c r="F384"/>
      <c r="G384" s="20"/>
      <c r="H384" s="21"/>
      <c r="K384" s="23"/>
      <c r="L384" t="str">
        <f>IF(K384="","",IFERROR(_xlfn.XLOOKUP(K384,verfvoorraad!C:C,verfvoorraad!B:B),IFERROR(_xlfn.XLOOKUP(IF(LEFT(UPPER(K384),4)="REV-","REV-"&amp;VALUE(MID(K384,5,99)),IF(LEN(K384)=5,LEFT(K384,2)&amp;"."&amp;RIGHT(K384,3),K384)),verfvoorraad!E:E,verfvoorraad!B:B),"Niet gevonden")))</f>
        <v/>
      </c>
      <c r="M384" t="str">
        <f>IF(K384="","",IFERROR(_xlfn.XLOOKUP(K384,verfvoorraad!C:C,verfvoorraad!D:D),IFERROR(_xlfn.XLOOKUP(IF(LEFT(UPPER(K384),4)="REV-","REV-"&amp;VALUE(MID(K384,5,99)),IF(LEN(K384)=5,LEFT(K384,2)&amp;"."&amp;RIGHT(K384,3),K384)),verfvoorraad!E:E,verfvoorraad!D:D),"Niet gevonden")))</f>
        <v/>
      </c>
      <c r="N384" t="str">
        <f>IF(K384="","",IFERROR(_xlfn.XLOOKUP(K384,verfvoorraad!C:C,verfvoorraad!E:E),IFERROR(_xlfn.XLOOKUP(IF(LEFT(UPPER(K384),4)="REV-","REV-"&amp;VALUE(MID(K384,5,99)),IF(LEN(K384)=5,LEFT(K384,2)&amp;"."&amp;RIGHT(K384,3),K384)),verfvoorraad!E:E,verfvoorraad!E:E),"Niet gevonden")))</f>
        <v/>
      </c>
      <c r="O384" t="str">
        <f>IF(K384="","",IFERROR(_xlfn.XLOOKUP(K384,verfvoorraad!C:C,verfvoorraad!F:F),IFERROR(_xlfn.XLOOKUP(IF(LEFT(UPPER(K384),4)="REV-","REV-"&amp;VALUE(MID(K384,5,99)),IF(LEN(K384)=5,LEFT(K384,2)&amp;"."&amp;RIGHT(K384,3),K384)),verfvoorraad!E:E,verfvoorraad!F:F),"Niet gevonden")))</f>
        <v/>
      </c>
      <c r="P384" t="str">
        <f>IF(K384="","",IFERROR(_xlfn.XLOOKUP(K384,verfvoorraad!C:C,verfvoorraad!G:G),IFERROR(_xlfn.XLOOKUP(IF(LEFT(UPPER(K384),4)="REV-","REV-"&amp;VALUE(MID(K384,5,99)),IF(LEN(K384)=5,LEFT(K384,2)&amp;"."&amp;RIGHT(K384,3),K384)),verfvoorraad!E:E,verfvoorraad!G:G),"Niet gevonden")))</f>
        <v/>
      </c>
      <c r="Q384" t="str">
        <f t="shared" si="10"/>
        <v/>
      </c>
      <c r="R384" t="str">
        <f t="shared" si="11"/>
        <v/>
      </c>
    </row>
    <row r="385" spans="6:18" x14ac:dyDescent="0.25">
      <c r="F385"/>
      <c r="G385" s="20"/>
      <c r="H385" s="21"/>
      <c r="K385" s="23"/>
      <c r="L385" t="str">
        <f>IF(K385="","",IFERROR(_xlfn.XLOOKUP(K385,verfvoorraad!C:C,verfvoorraad!B:B),IFERROR(_xlfn.XLOOKUP(IF(LEFT(UPPER(K385),4)="REV-","REV-"&amp;VALUE(MID(K385,5,99)),IF(LEN(K385)=5,LEFT(K385,2)&amp;"."&amp;RIGHT(K385,3),K385)),verfvoorraad!E:E,verfvoorraad!B:B),"Niet gevonden")))</f>
        <v/>
      </c>
      <c r="M385" t="str">
        <f>IF(K385="","",IFERROR(_xlfn.XLOOKUP(K385,verfvoorraad!C:C,verfvoorraad!D:D),IFERROR(_xlfn.XLOOKUP(IF(LEFT(UPPER(K385),4)="REV-","REV-"&amp;VALUE(MID(K385,5,99)),IF(LEN(K385)=5,LEFT(K385,2)&amp;"."&amp;RIGHT(K385,3),K385)),verfvoorraad!E:E,verfvoorraad!D:D),"Niet gevonden")))</f>
        <v/>
      </c>
      <c r="N385" t="str">
        <f>IF(K385="","",IFERROR(_xlfn.XLOOKUP(K385,verfvoorraad!C:C,verfvoorraad!E:E),IFERROR(_xlfn.XLOOKUP(IF(LEFT(UPPER(K385),4)="REV-","REV-"&amp;VALUE(MID(K385,5,99)),IF(LEN(K385)=5,LEFT(K385,2)&amp;"."&amp;RIGHT(K385,3),K385)),verfvoorraad!E:E,verfvoorraad!E:E),"Niet gevonden")))</f>
        <v/>
      </c>
      <c r="O385" t="str">
        <f>IF(K385="","",IFERROR(_xlfn.XLOOKUP(K385,verfvoorraad!C:C,verfvoorraad!F:F),IFERROR(_xlfn.XLOOKUP(IF(LEFT(UPPER(K385),4)="REV-","REV-"&amp;VALUE(MID(K385,5,99)),IF(LEN(K385)=5,LEFT(K385,2)&amp;"."&amp;RIGHT(K385,3),K385)),verfvoorraad!E:E,verfvoorraad!F:F),"Niet gevonden")))</f>
        <v/>
      </c>
      <c r="P385" t="str">
        <f>IF(K385="","",IFERROR(_xlfn.XLOOKUP(K385,verfvoorraad!C:C,verfvoorraad!G:G),IFERROR(_xlfn.XLOOKUP(IF(LEFT(UPPER(K385),4)="REV-","REV-"&amp;VALUE(MID(K385,5,99)),IF(LEN(K385)=5,LEFT(K385,2)&amp;"."&amp;RIGHT(K385,3),K385)),verfvoorraad!E:E,verfvoorraad!G:G),"Niet gevonden")))</f>
        <v/>
      </c>
      <c r="Q385" t="str">
        <f t="shared" si="10"/>
        <v/>
      </c>
      <c r="R385" t="str">
        <f t="shared" si="11"/>
        <v/>
      </c>
    </row>
    <row r="386" spans="6:18" x14ac:dyDescent="0.25">
      <c r="F386"/>
      <c r="G386" s="20"/>
      <c r="H386" s="21"/>
      <c r="K386" s="23"/>
      <c r="L386" t="str">
        <f>IF(K386="","",IFERROR(_xlfn.XLOOKUP(K386,verfvoorraad!C:C,verfvoorraad!B:B),IFERROR(_xlfn.XLOOKUP(IF(LEFT(UPPER(K386),4)="REV-","REV-"&amp;VALUE(MID(K386,5,99)),IF(LEN(K386)=5,LEFT(K386,2)&amp;"."&amp;RIGHT(K386,3),K386)),verfvoorraad!E:E,verfvoorraad!B:B),"Niet gevonden")))</f>
        <v/>
      </c>
      <c r="M386" t="str">
        <f>IF(K386="","",IFERROR(_xlfn.XLOOKUP(K386,verfvoorraad!C:C,verfvoorraad!D:D),IFERROR(_xlfn.XLOOKUP(IF(LEFT(UPPER(K386),4)="REV-","REV-"&amp;VALUE(MID(K386,5,99)),IF(LEN(K386)=5,LEFT(K386,2)&amp;"."&amp;RIGHT(K386,3),K386)),verfvoorraad!E:E,verfvoorraad!D:D),"Niet gevonden")))</f>
        <v/>
      </c>
      <c r="N386" t="str">
        <f>IF(K386="","",IFERROR(_xlfn.XLOOKUP(K386,verfvoorraad!C:C,verfvoorraad!E:E),IFERROR(_xlfn.XLOOKUP(IF(LEFT(UPPER(K386),4)="REV-","REV-"&amp;VALUE(MID(K386,5,99)),IF(LEN(K386)=5,LEFT(K386,2)&amp;"."&amp;RIGHT(K386,3),K386)),verfvoorraad!E:E,verfvoorraad!E:E),"Niet gevonden")))</f>
        <v/>
      </c>
      <c r="O386" t="str">
        <f>IF(K386="","",IFERROR(_xlfn.XLOOKUP(K386,verfvoorraad!C:C,verfvoorraad!F:F),IFERROR(_xlfn.XLOOKUP(IF(LEFT(UPPER(K386),4)="REV-","REV-"&amp;VALUE(MID(K386,5,99)),IF(LEN(K386)=5,LEFT(K386,2)&amp;"."&amp;RIGHT(K386,3),K386)),verfvoorraad!E:E,verfvoorraad!F:F),"Niet gevonden")))</f>
        <v/>
      </c>
      <c r="P386" t="str">
        <f>IF(K386="","",IFERROR(_xlfn.XLOOKUP(K386,verfvoorraad!C:C,verfvoorraad!G:G),IFERROR(_xlfn.XLOOKUP(IF(LEFT(UPPER(K386),4)="REV-","REV-"&amp;VALUE(MID(K386,5,99)),IF(LEN(K386)=5,LEFT(K386,2)&amp;"."&amp;RIGHT(K386,3),K386)),verfvoorraad!E:E,verfvoorraad!G:G),"Niet gevonden")))</f>
        <v/>
      </c>
      <c r="Q386" t="str">
        <f t="shared" si="10"/>
        <v/>
      </c>
      <c r="R386" t="str">
        <f t="shared" si="11"/>
        <v/>
      </c>
    </row>
    <row r="387" spans="6:18" x14ac:dyDescent="0.25">
      <c r="F387"/>
      <c r="G387" s="20"/>
      <c r="H387" s="21"/>
      <c r="K387" s="23"/>
      <c r="L387" t="str">
        <f>IF(K387="","",IFERROR(_xlfn.XLOOKUP(K387,verfvoorraad!C:C,verfvoorraad!B:B),IFERROR(_xlfn.XLOOKUP(IF(LEFT(UPPER(K387),4)="REV-","REV-"&amp;VALUE(MID(K387,5,99)),IF(LEN(K387)=5,LEFT(K387,2)&amp;"."&amp;RIGHT(K387,3),K387)),verfvoorraad!E:E,verfvoorraad!B:B),"Niet gevonden")))</f>
        <v/>
      </c>
      <c r="M387" t="str">
        <f>IF(K387="","",IFERROR(_xlfn.XLOOKUP(K387,verfvoorraad!C:C,verfvoorraad!D:D),IFERROR(_xlfn.XLOOKUP(IF(LEFT(UPPER(K387),4)="REV-","REV-"&amp;VALUE(MID(K387,5,99)),IF(LEN(K387)=5,LEFT(K387,2)&amp;"."&amp;RIGHT(K387,3),K387)),verfvoorraad!E:E,verfvoorraad!D:D),"Niet gevonden")))</f>
        <v/>
      </c>
      <c r="N387" t="str">
        <f>IF(K387="","",IFERROR(_xlfn.XLOOKUP(K387,verfvoorraad!C:C,verfvoorraad!E:E),IFERROR(_xlfn.XLOOKUP(IF(LEFT(UPPER(K387),4)="REV-","REV-"&amp;VALUE(MID(K387,5,99)),IF(LEN(K387)=5,LEFT(K387,2)&amp;"."&amp;RIGHT(K387,3),K387)),verfvoorraad!E:E,verfvoorraad!E:E),"Niet gevonden")))</f>
        <v/>
      </c>
      <c r="O387" t="str">
        <f>IF(K387="","",IFERROR(_xlfn.XLOOKUP(K387,verfvoorraad!C:C,verfvoorraad!F:F),IFERROR(_xlfn.XLOOKUP(IF(LEFT(UPPER(K387),4)="REV-","REV-"&amp;VALUE(MID(K387,5,99)),IF(LEN(K387)=5,LEFT(K387,2)&amp;"."&amp;RIGHT(K387,3),K387)),verfvoorraad!E:E,verfvoorraad!F:F),"Niet gevonden")))</f>
        <v/>
      </c>
      <c r="P387" t="str">
        <f>IF(K387="","",IFERROR(_xlfn.XLOOKUP(K387,verfvoorraad!C:C,verfvoorraad!G:G),IFERROR(_xlfn.XLOOKUP(IF(LEFT(UPPER(K387),4)="REV-","REV-"&amp;VALUE(MID(K387,5,99)),IF(LEN(K387)=5,LEFT(K387,2)&amp;"."&amp;RIGHT(K387,3),K387)),verfvoorraad!E:E,verfvoorraad!G:G),"Niet gevonden")))</f>
        <v/>
      </c>
      <c r="Q387" t="str">
        <f t="shared" si="10"/>
        <v/>
      </c>
      <c r="R387" t="str">
        <f t="shared" si="11"/>
        <v/>
      </c>
    </row>
    <row r="388" spans="6:18" x14ac:dyDescent="0.25">
      <c r="F388"/>
      <c r="G388" s="20"/>
      <c r="H388" s="21"/>
      <c r="K388" s="23"/>
      <c r="L388" t="str">
        <f>IF(K388="","",IFERROR(_xlfn.XLOOKUP(K388,verfvoorraad!C:C,verfvoorraad!B:B),IFERROR(_xlfn.XLOOKUP(IF(LEFT(UPPER(K388),4)="REV-","REV-"&amp;VALUE(MID(K388,5,99)),IF(LEN(K388)=5,LEFT(K388,2)&amp;"."&amp;RIGHT(K388,3),K388)),verfvoorraad!E:E,verfvoorraad!B:B),"Niet gevonden")))</f>
        <v/>
      </c>
      <c r="M388" t="str">
        <f>IF(K388="","",IFERROR(_xlfn.XLOOKUP(K388,verfvoorraad!C:C,verfvoorraad!D:D),IFERROR(_xlfn.XLOOKUP(IF(LEFT(UPPER(K388),4)="REV-","REV-"&amp;VALUE(MID(K388,5,99)),IF(LEN(K388)=5,LEFT(K388,2)&amp;"."&amp;RIGHT(K388,3),K388)),verfvoorraad!E:E,verfvoorraad!D:D),"Niet gevonden")))</f>
        <v/>
      </c>
      <c r="N388" t="str">
        <f>IF(K388="","",IFERROR(_xlfn.XLOOKUP(K388,verfvoorraad!C:C,verfvoorraad!E:E),IFERROR(_xlfn.XLOOKUP(IF(LEFT(UPPER(K388),4)="REV-","REV-"&amp;VALUE(MID(K388,5,99)),IF(LEN(K388)=5,LEFT(K388,2)&amp;"."&amp;RIGHT(K388,3),K388)),verfvoorraad!E:E,verfvoorraad!E:E),"Niet gevonden")))</f>
        <v/>
      </c>
      <c r="O388" t="str">
        <f>IF(K388="","",IFERROR(_xlfn.XLOOKUP(K388,verfvoorraad!C:C,verfvoorraad!F:F),IFERROR(_xlfn.XLOOKUP(IF(LEFT(UPPER(K388),4)="REV-","REV-"&amp;VALUE(MID(K388,5,99)),IF(LEN(K388)=5,LEFT(K388,2)&amp;"."&amp;RIGHT(K388,3),K388)),verfvoorraad!E:E,verfvoorraad!F:F),"Niet gevonden")))</f>
        <v/>
      </c>
      <c r="P388" t="str">
        <f>IF(K388="","",IFERROR(_xlfn.XLOOKUP(K388,verfvoorraad!C:C,verfvoorraad!G:G),IFERROR(_xlfn.XLOOKUP(IF(LEFT(UPPER(K388),4)="REV-","REV-"&amp;VALUE(MID(K388,5,99)),IF(LEN(K388)=5,LEFT(K388,2)&amp;"."&amp;RIGHT(K388,3),K388)),verfvoorraad!E:E,verfvoorraad!G:G),"Niet gevonden")))</f>
        <v/>
      </c>
      <c r="Q388" t="str">
        <f t="shared" si="10"/>
        <v/>
      </c>
      <c r="R388" t="str">
        <f t="shared" si="11"/>
        <v/>
      </c>
    </row>
    <row r="389" spans="6:18" x14ac:dyDescent="0.25">
      <c r="F389"/>
      <c r="G389" s="20"/>
      <c r="H389" s="21"/>
      <c r="K389" s="23"/>
      <c r="L389" t="str">
        <f>IF(K389="","",IFERROR(_xlfn.XLOOKUP(K389,verfvoorraad!C:C,verfvoorraad!B:B),IFERROR(_xlfn.XLOOKUP(IF(LEFT(UPPER(K389),4)="REV-","REV-"&amp;VALUE(MID(K389,5,99)),IF(LEN(K389)=5,LEFT(K389,2)&amp;"."&amp;RIGHT(K389,3),K389)),verfvoorraad!E:E,verfvoorraad!B:B),"Niet gevonden")))</f>
        <v/>
      </c>
      <c r="M389" t="str">
        <f>IF(K389="","",IFERROR(_xlfn.XLOOKUP(K389,verfvoorraad!C:C,verfvoorraad!D:D),IFERROR(_xlfn.XLOOKUP(IF(LEFT(UPPER(K389),4)="REV-","REV-"&amp;VALUE(MID(K389,5,99)),IF(LEN(K389)=5,LEFT(K389,2)&amp;"."&amp;RIGHT(K389,3),K389)),verfvoorraad!E:E,verfvoorraad!D:D),"Niet gevonden")))</f>
        <v/>
      </c>
      <c r="N389" t="str">
        <f>IF(K389="","",IFERROR(_xlfn.XLOOKUP(K389,verfvoorraad!C:C,verfvoorraad!E:E),IFERROR(_xlfn.XLOOKUP(IF(LEFT(UPPER(K389),4)="REV-","REV-"&amp;VALUE(MID(K389,5,99)),IF(LEN(K389)=5,LEFT(K389,2)&amp;"."&amp;RIGHT(K389,3),K389)),verfvoorraad!E:E,verfvoorraad!E:E),"Niet gevonden")))</f>
        <v/>
      </c>
      <c r="O389" t="str">
        <f>IF(K389="","",IFERROR(_xlfn.XLOOKUP(K389,verfvoorraad!C:C,verfvoorraad!F:F),IFERROR(_xlfn.XLOOKUP(IF(LEFT(UPPER(K389),4)="REV-","REV-"&amp;VALUE(MID(K389,5,99)),IF(LEN(K389)=5,LEFT(K389,2)&amp;"."&amp;RIGHT(K389,3),K389)),verfvoorraad!E:E,verfvoorraad!F:F),"Niet gevonden")))</f>
        <v/>
      </c>
      <c r="P389" t="str">
        <f>IF(K389="","",IFERROR(_xlfn.XLOOKUP(K389,verfvoorraad!C:C,verfvoorraad!G:G),IFERROR(_xlfn.XLOOKUP(IF(LEFT(UPPER(K389),4)="REV-","REV-"&amp;VALUE(MID(K389,5,99)),IF(LEN(K389)=5,LEFT(K389,2)&amp;"."&amp;RIGHT(K389,3),K389)),verfvoorraad!E:E,verfvoorraad!G:G),"Niet gevonden")))</f>
        <v/>
      </c>
      <c r="Q389" t="str">
        <f t="shared" si="10"/>
        <v/>
      </c>
      <c r="R389" t="str">
        <f t="shared" si="11"/>
        <v/>
      </c>
    </row>
    <row r="390" spans="6:18" x14ac:dyDescent="0.25">
      <c r="F390"/>
      <c r="G390" s="20"/>
      <c r="H390" s="21"/>
      <c r="K390" s="23"/>
      <c r="L390" t="str">
        <f>IF(K390="","",IFERROR(_xlfn.XLOOKUP(K390,verfvoorraad!C:C,verfvoorraad!B:B),IFERROR(_xlfn.XLOOKUP(IF(LEFT(UPPER(K390),4)="REV-","REV-"&amp;VALUE(MID(K390,5,99)),IF(LEN(K390)=5,LEFT(K390,2)&amp;"."&amp;RIGHT(K390,3),K390)),verfvoorraad!E:E,verfvoorraad!B:B),"Niet gevonden")))</f>
        <v/>
      </c>
      <c r="M390" t="str">
        <f>IF(K390="","",IFERROR(_xlfn.XLOOKUP(K390,verfvoorraad!C:C,verfvoorraad!D:D),IFERROR(_xlfn.XLOOKUP(IF(LEFT(UPPER(K390),4)="REV-","REV-"&amp;VALUE(MID(K390,5,99)),IF(LEN(K390)=5,LEFT(K390,2)&amp;"."&amp;RIGHT(K390,3),K390)),verfvoorraad!E:E,verfvoorraad!D:D),"Niet gevonden")))</f>
        <v/>
      </c>
      <c r="N390" t="str">
        <f>IF(K390="","",IFERROR(_xlfn.XLOOKUP(K390,verfvoorraad!C:C,verfvoorraad!E:E),IFERROR(_xlfn.XLOOKUP(IF(LEFT(UPPER(K390),4)="REV-","REV-"&amp;VALUE(MID(K390,5,99)),IF(LEN(K390)=5,LEFT(K390,2)&amp;"."&amp;RIGHT(K390,3),K390)),verfvoorraad!E:E,verfvoorraad!E:E),"Niet gevonden")))</f>
        <v/>
      </c>
      <c r="O390" t="str">
        <f>IF(K390="","",IFERROR(_xlfn.XLOOKUP(K390,verfvoorraad!C:C,verfvoorraad!F:F),IFERROR(_xlfn.XLOOKUP(IF(LEFT(UPPER(K390),4)="REV-","REV-"&amp;VALUE(MID(K390,5,99)),IF(LEN(K390)=5,LEFT(K390,2)&amp;"."&amp;RIGHT(K390,3),K390)),verfvoorraad!E:E,verfvoorraad!F:F),"Niet gevonden")))</f>
        <v/>
      </c>
      <c r="P390" t="str">
        <f>IF(K390="","",IFERROR(_xlfn.XLOOKUP(K390,verfvoorraad!C:C,verfvoorraad!G:G),IFERROR(_xlfn.XLOOKUP(IF(LEFT(UPPER(K390),4)="REV-","REV-"&amp;VALUE(MID(K390,5,99)),IF(LEN(K390)=5,LEFT(K390,2)&amp;"."&amp;RIGHT(K390,3),K390)),verfvoorraad!E:E,verfvoorraad!G:G),"Niet gevonden")))</f>
        <v/>
      </c>
      <c r="Q390" t="str">
        <f t="shared" si="10"/>
        <v/>
      </c>
      <c r="R390" t="str">
        <f t="shared" si="11"/>
        <v/>
      </c>
    </row>
    <row r="391" spans="6:18" x14ac:dyDescent="0.25">
      <c r="F391"/>
      <c r="G391" s="20"/>
      <c r="H391" s="21"/>
      <c r="K391" s="23"/>
      <c r="L391" t="str">
        <f>IF(K391="","",IFERROR(_xlfn.XLOOKUP(K391,verfvoorraad!C:C,verfvoorraad!B:B),IFERROR(_xlfn.XLOOKUP(IF(LEFT(UPPER(K391),4)="REV-","REV-"&amp;VALUE(MID(K391,5,99)),IF(LEN(K391)=5,LEFT(K391,2)&amp;"."&amp;RIGHT(K391,3),K391)),verfvoorraad!E:E,verfvoorraad!B:B),"Niet gevonden")))</f>
        <v/>
      </c>
      <c r="M391" t="str">
        <f>IF(K391="","",IFERROR(_xlfn.XLOOKUP(K391,verfvoorraad!C:C,verfvoorraad!D:D),IFERROR(_xlfn.XLOOKUP(IF(LEFT(UPPER(K391),4)="REV-","REV-"&amp;VALUE(MID(K391,5,99)),IF(LEN(K391)=5,LEFT(K391,2)&amp;"."&amp;RIGHT(K391,3),K391)),verfvoorraad!E:E,verfvoorraad!D:D),"Niet gevonden")))</f>
        <v/>
      </c>
      <c r="N391" t="str">
        <f>IF(K391="","",IFERROR(_xlfn.XLOOKUP(K391,verfvoorraad!C:C,verfvoorraad!E:E),IFERROR(_xlfn.XLOOKUP(IF(LEFT(UPPER(K391),4)="REV-","REV-"&amp;VALUE(MID(K391,5,99)),IF(LEN(K391)=5,LEFT(K391,2)&amp;"."&amp;RIGHT(K391,3),K391)),verfvoorraad!E:E,verfvoorraad!E:E),"Niet gevonden")))</f>
        <v/>
      </c>
      <c r="O391" t="str">
        <f>IF(K391="","",IFERROR(_xlfn.XLOOKUP(K391,verfvoorraad!C:C,verfvoorraad!F:F),IFERROR(_xlfn.XLOOKUP(IF(LEFT(UPPER(K391),4)="REV-","REV-"&amp;VALUE(MID(K391,5,99)),IF(LEN(K391)=5,LEFT(K391,2)&amp;"."&amp;RIGHT(K391,3),K391)),verfvoorraad!E:E,verfvoorraad!F:F),"Niet gevonden")))</f>
        <v/>
      </c>
      <c r="P391" t="str">
        <f>IF(K391="","",IFERROR(_xlfn.XLOOKUP(K391,verfvoorraad!C:C,verfvoorraad!G:G),IFERROR(_xlfn.XLOOKUP(IF(LEFT(UPPER(K391),4)="REV-","REV-"&amp;VALUE(MID(K391,5,99)),IF(LEN(K391)=5,LEFT(K391,2)&amp;"."&amp;RIGHT(K391,3),K391)),verfvoorraad!E:E,verfvoorraad!G:G),"Niet gevonden")))</f>
        <v/>
      </c>
      <c r="Q391" t="str">
        <f t="shared" si="10"/>
        <v/>
      </c>
      <c r="R391" t="str">
        <f t="shared" si="11"/>
        <v/>
      </c>
    </row>
    <row r="392" spans="6:18" x14ac:dyDescent="0.25">
      <c r="F392"/>
      <c r="G392" s="20"/>
      <c r="H392" s="21"/>
      <c r="K392" s="23"/>
      <c r="L392" t="str">
        <f>IF(K392="","",IFERROR(_xlfn.XLOOKUP(K392,verfvoorraad!C:C,verfvoorraad!B:B),IFERROR(_xlfn.XLOOKUP(IF(LEFT(UPPER(K392),4)="REV-","REV-"&amp;VALUE(MID(K392,5,99)),IF(LEN(K392)=5,LEFT(K392,2)&amp;"."&amp;RIGHT(K392,3),K392)),verfvoorraad!E:E,verfvoorraad!B:B),"Niet gevonden")))</f>
        <v/>
      </c>
      <c r="M392" t="str">
        <f>IF(K392="","",IFERROR(_xlfn.XLOOKUP(K392,verfvoorraad!C:C,verfvoorraad!D:D),IFERROR(_xlfn.XLOOKUP(IF(LEFT(UPPER(K392),4)="REV-","REV-"&amp;VALUE(MID(K392,5,99)),IF(LEN(K392)=5,LEFT(K392,2)&amp;"."&amp;RIGHT(K392,3),K392)),verfvoorraad!E:E,verfvoorraad!D:D),"Niet gevonden")))</f>
        <v/>
      </c>
      <c r="N392" t="str">
        <f>IF(K392="","",IFERROR(_xlfn.XLOOKUP(K392,verfvoorraad!C:C,verfvoorraad!E:E),IFERROR(_xlfn.XLOOKUP(IF(LEFT(UPPER(K392),4)="REV-","REV-"&amp;VALUE(MID(K392,5,99)),IF(LEN(K392)=5,LEFT(K392,2)&amp;"."&amp;RIGHT(K392,3),K392)),verfvoorraad!E:E,verfvoorraad!E:E),"Niet gevonden")))</f>
        <v/>
      </c>
      <c r="O392" t="str">
        <f>IF(K392="","",IFERROR(_xlfn.XLOOKUP(K392,verfvoorraad!C:C,verfvoorraad!F:F),IFERROR(_xlfn.XLOOKUP(IF(LEFT(UPPER(K392),4)="REV-","REV-"&amp;VALUE(MID(K392,5,99)),IF(LEN(K392)=5,LEFT(K392,2)&amp;"."&amp;RIGHT(K392,3),K392)),verfvoorraad!E:E,verfvoorraad!F:F),"Niet gevonden")))</f>
        <v/>
      </c>
      <c r="P392" t="str">
        <f>IF(K392="","",IFERROR(_xlfn.XLOOKUP(K392,verfvoorraad!C:C,verfvoorraad!G:G),IFERROR(_xlfn.XLOOKUP(IF(LEFT(UPPER(K392),4)="REV-","REV-"&amp;VALUE(MID(K392,5,99)),IF(LEN(K392)=5,LEFT(K392,2)&amp;"."&amp;RIGHT(K392,3),K392)),verfvoorraad!E:E,verfvoorraad!G:G),"Niet gevonden")))</f>
        <v/>
      </c>
      <c r="Q392" t="str">
        <f t="shared" si="10"/>
        <v/>
      </c>
      <c r="R392" t="str">
        <f t="shared" si="11"/>
        <v/>
      </c>
    </row>
    <row r="393" spans="6:18" x14ac:dyDescent="0.25">
      <c r="F393"/>
      <c r="G393" s="20"/>
      <c r="H393" s="21"/>
      <c r="K393" s="23"/>
      <c r="L393" t="str">
        <f>IF(K393="","",IFERROR(_xlfn.XLOOKUP(K393,verfvoorraad!C:C,verfvoorraad!B:B),IFERROR(_xlfn.XLOOKUP(IF(LEFT(UPPER(K393),4)="REV-","REV-"&amp;VALUE(MID(K393,5,99)),IF(LEN(K393)=5,LEFT(K393,2)&amp;"."&amp;RIGHT(K393,3),K393)),verfvoorraad!E:E,verfvoorraad!B:B),"Niet gevonden")))</f>
        <v/>
      </c>
      <c r="M393" t="str">
        <f>IF(K393="","",IFERROR(_xlfn.XLOOKUP(K393,verfvoorraad!C:C,verfvoorraad!D:D),IFERROR(_xlfn.XLOOKUP(IF(LEFT(UPPER(K393),4)="REV-","REV-"&amp;VALUE(MID(K393,5,99)),IF(LEN(K393)=5,LEFT(K393,2)&amp;"."&amp;RIGHT(K393,3),K393)),verfvoorraad!E:E,verfvoorraad!D:D),"Niet gevonden")))</f>
        <v/>
      </c>
      <c r="N393" t="str">
        <f>IF(K393="","",IFERROR(_xlfn.XLOOKUP(K393,verfvoorraad!C:C,verfvoorraad!E:E),IFERROR(_xlfn.XLOOKUP(IF(LEFT(UPPER(K393),4)="REV-","REV-"&amp;VALUE(MID(K393,5,99)),IF(LEN(K393)=5,LEFT(K393,2)&amp;"."&amp;RIGHT(K393,3),K393)),verfvoorraad!E:E,verfvoorraad!E:E),"Niet gevonden")))</f>
        <v/>
      </c>
      <c r="O393" t="str">
        <f>IF(K393="","",IFERROR(_xlfn.XLOOKUP(K393,verfvoorraad!C:C,verfvoorraad!F:F),IFERROR(_xlfn.XLOOKUP(IF(LEFT(UPPER(K393),4)="REV-","REV-"&amp;VALUE(MID(K393,5,99)),IF(LEN(K393)=5,LEFT(K393,2)&amp;"."&amp;RIGHT(K393,3),K393)),verfvoorraad!E:E,verfvoorraad!F:F),"Niet gevonden")))</f>
        <v/>
      </c>
      <c r="P393" t="str">
        <f>IF(K393="","",IFERROR(_xlfn.XLOOKUP(K393,verfvoorraad!C:C,verfvoorraad!G:G),IFERROR(_xlfn.XLOOKUP(IF(LEFT(UPPER(K393),4)="REV-","REV-"&amp;VALUE(MID(K393,5,99)),IF(LEN(K393)=5,LEFT(K393,2)&amp;"."&amp;RIGHT(K393,3),K393)),verfvoorraad!E:E,verfvoorraad!G:G),"Niet gevonden")))</f>
        <v/>
      </c>
      <c r="Q393" t="str">
        <f t="shared" si="10"/>
        <v/>
      </c>
      <c r="R393" t="str">
        <f t="shared" si="11"/>
        <v/>
      </c>
    </row>
    <row r="394" spans="6:18" x14ac:dyDescent="0.25">
      <c r="F394"/>
      <c r="G394" s="20"/>
      <c r="H394" s="21"/>
      <c r="K394" s="23"/>
      <c r="L394" t="str">
        <f>IF(K394="","",IFERROR(_xlfn.XLOOKUP(K394,verfvoorraad!C:C,verfvoorraad!B:B),IFERROR(_xlfn.XLOOKUP(IF(LEFT(UPPER(K394),4)="REV-","REV-"&amp;VALUE(MID(K394,5,99)),IF(LEN(K394)=5,LEFT(K394,2)&amp;"."&amp;RIGHT(K394,3),K394)),verfvoorraad!E:E,verfvoorraad!B:B),"Niet gevonden")))</f>
        <v/>
      </c>
      <c r="M394" t="str">
        <f>IF(K394="","",IFERROR(_xlfn.XLOOKUP(K394,verfvoorraad!C:C,verfvoorraad!D:D),IFERROR(_xlfn.XLOOKUP(IF(LEFT(UPPER(K394),4)="REV-","REV-"&amp;VALUE(MID(K394,5,99)),IF(LEN(K394)=5,LEFT(K394,2)&amp;"."&amp;RIGHT(K394,3),K394)),verfvoorraad!E:E,verfvoorraad!D:D),"Niet gevonden")))</f>
        <v/>
      </c>
      <c r="N394" t="str">
        <f>IF(K394="","",IFERROR(_xlfn.XLOOKUP(K394,verfvoorraad!C:C,verfvoorraad!E:E),IFERROR(_xlfn.XLOOKUP(IF(LEFT(UPPER(K394),4)="REV-","REV-"&amp;VALUE(MID(K394,5,99)),IF(LEN(K394)=5,LEFT(K394,2)&amp;"."&amp;RIGHT(K394,3),K394)),verfvoorraad!E:E,verfvoorraad!E:E),"Niet gevonden")))</f>
        <v/>
      </c>
      <c r="O394" t="str">
        <f>IF(K394="","",IFERROR(_xlfn.XLOOKUP(K394,verfvoorraad!C:C,verfvoorraad!F:F),IFERROR(_xlfn.XLOOKUP(IF(LEFT(UPPER(K394),4)="REV-","REV-"&amp;VALUE(MID(K394,5,99)),IF(LEN(K394)=5,LEFT(K394,2)&amp;"."&amp;RIGHT(K394,3),K394)),verfvoorraad!E:E,verfvoorraad!F:F),"Niet gevonden")))</f>
        <v/>
      </c>
      <c r="P394" t="str">
        <f>IF(K394="","",IFERROR(_xlfn.XLOOKUP(K394,verfvoorraad!C:C,verfvoorraad!G:G),IFERROR(_xlfn.XLOOKUP(IF(LEFT(UPPER(K394),4)="REV-","REV-"&amp;VALUE(MID(K394,5,99)),IF(LEN(K394)=5,LEFT(K394,2)&amp;"."&amp;RIGHT(K394,3),K394)),verfvoorraad!E:E,verfvoorraad!G:G),"Niet gevonden")))</f>
        <v/>
      </c>
      <c r="Q394" t="str">
        <f t="shared" si="10"/>
        <v/>
      </c>
      <c r="R394" t="str">
        <f t="shared" si="11"/>
        <v/>
      </c>
    </row>
    <row r="395" spans="6:18" x14ac:dyDescent="0.25">
      <c r="F395"/>
      <c r="G395" s="20"/>
      <c r="H395" s="21"/>
      <c r="K395" s="23"/>
      <c r="L395" t="str">
        <f>IF(K395="","",IFERROR(_xlfn.XLOOKUP(K395,verfvoorraad!C:C,verfvoorraad!B:B),IFERROR(_xlfn.XLOOKUP(IF(LEFT(UPPER(K395),4)="REV-","REV-"&amp;VALUE(MID(K395,5,99)),IF(LEN(K395)=5,LEFT(K395,2)&amp;"."&amp;RIGHT(K395,3),K395)),verfvoorraad!E:E,verfvoorraad!B:B),"Niet gevonden")))</f>
        <v/>
      </c>
      <c r="M395" t="str">
        <f>IF(K395="","",IFERROR(_xlfn.XLOOKUP(K395,verfvoorraad!C:C,verfvoorraad!D:D),IFERROR(_xlfn.XLOOKUP(IF(LEFT(UPPER(K395),4)="REV-","REV-"&amp;VALUE(MID(K395,5,99)),IF(LEN(K395)=5,LEFT(K395,2)&amp;"."&amp;RIGHT(K395,3),K395)),verfvoorraad!E:E,verfvoorraad!D:D),"Niet gevonden")))</f>
        <v/>
      </c>
      <c r="N395" t="str">
        <f>IF(K395="","",IFERROR(_xlfn.XLOOKUP(K395,verfvoorraad!C:C,verfvoorraad!E:E),IFERROR(_xlfn.XLOOKUP(IF(LEFT(UPPER(K395),4)="REV-","REV-"&amp;VALUE(MID(K395,5,99)),IF(LEN(K395)=5,LEFT(K395,2)&amp;"."&amp;RIGHT(K395,3),K395)),verfvoorraad!E:E,verfvoorraad!E:E),"Niet gevonden")))</f>
        <v/>
      </c>
      <c r="O395" t="str">
        <f>IF(K395="","",IFERROR(_xlfn.XLOOKUP(K395,verfvoorraad!C:C,verfvoorraad!F:F),IFERROR(_xlfn.XLOOKUP(IF(LEFT(UPPER(K395),4)="REV-","REV-"&amp;VALUE(MID(K395,5,99)),IF(LEN(K395)=5,LEFT(K395,2)&amp;"."&amp;RIGHT(K395,3),K395)),verfvoorraad!E:E,verfvoorraad!F:F),"Niet gevonden")))</f>
        <v/>
      </c>
      <c r="P395" t="str">
        <f>IF(K395="","",IFERROR(_xlfn.XLOOKUP(K395,verfvoorraad!C:C,verfvoorraad!G:G),IFERROR(_xlfn.XLOOKUP(IF(LEFT(UPPER(K395),4)="REV-","REV-"&amp;VALUE(MID(K395,5,99)),IF(LEN(K395)=5,LEFT(K395,2)&amp;"."&amp;RIGHT(K395,3),K395)),verfvoorraad!E:E,verfvoorraad!G:G),"Niet gevonden")))</f>
        <v/>
      </c>
      <c r="Q395" t="str">
        <f t="shared" si="10"/>
        <v/>
      </c>
      <c r="R395" t="str">
        <f t="shared" si="11"/>
        <v/>
      </c>
    </row>
    <row r="396" spans="6:18" x14ac:dyDescent="0.25">
      <c r="F396"/>
      <c r="G396" s="20"/>
      <c r="H396" s="21"/>
      <c r="K396" s="23"/>
      <c r="L396" t="str">
        <f>IF(K396="","",IFERROR(_xlfn.XLOOKUP(K396,verfvoorraad!C:C,verfvoorraad!B:B),IFERROR(_xlfn.XLOOKUP(IF(LEFT(UPPER(K396),4)="REV-","REV-"&amp;VALUE(MID(K396,5,99)),IF(LEN(K396)=5,LEFT(K396,2)&amp;"."&amp;RIGHT(K396,3),K396)),verfvoorraad!E:E,verfvoorraad!B:B),"Niet gevonden")))</f>
        <v/>
      </c>
      <c r="M396" t="str">
        <f>IF(K396="","",IFERROR(_xlfn.XLOOKUP(K396,verfvoorraad!C:C,verfvoorraad!D:D),IFERROR(_xlfn.XLOOKUP(IF(LEFT(UPPER(K396),4)="REV-","REV-"&amp;VALUE(MID(K396,5,99)),IF(LEN(K396)=5,LEFT(K396,2)&amp;"."&amp;RIGHT(K396,3),K396)),verfvoorraad!E:E,verfvoorraad!D:D),"Niet gevonden")))</f>
        <v/>
      </c>
      <c r="N396" t="str">
        <f>IF(K396="","",IFERROR(_xlfn.XLOOKUP(K396,verfvoorraad!C:C,verfvoorraad!E:E),IFERROR(_xlfn.XLOOKUP(IF(LEFT(UPPER(K396),4)="REV-","REV-"&amp;VALUE(MID(K396,5,99)),IF(LEN(K396)=5,LEFT(K396,2)&amp;"."&amp;RIGHT(K396,3),K396)),verfvoorraad!E:E,verfvoorraad!E:E),"Niet gevonden")))</f>
        <v/>
      </c>
      <c r="O396" t="str">
        <f>IF(K396="","",IFERROR(_xlfn.XLOOKUP(K396,verfvoorraad!C:C,verfvoorraad!F:F),IFERROR(_xlfn.XLOOKUP(IF(LEFT(UPPER(K396),4)="REV-","REV-"&amp;VALUE(MID(K396,5,99)),IF(LEN(K396)=5,LEFT(K396,2)&amp;"."&amp;RIGHT(K396,3),K396)),verfvoorraad!E:E,verfvoorraad!F:F),"Niet gevonden")))</f>
        <v/>
      </c>
      <c r="P396" t="str">
        <f>IF(K396="","",IFERROR(_xlfn.XLOOKUP(K396,verfvoorraad!C:C,verfvoorraad!G:G),IFERROR(_xlfn.XLOOKUP(IF(LEFT(UPPER(K396),4)="REV-","REV-"&amp;VALUE(MID(K396,5,99)),IF(LEN(K396)=5,LEFT(K396,2)&amp;"."&amp;RIGHT(K396,3),K396)),verfvoorraad!E:E,verfvoorraad!G:G),"Niet gevonden")))</f>
        <v/>
      </c>
      <c r="Q396" t="str">
        <f t="shared" si="10"/>
        <v/>
      </c>
      <c r="R396" t="str">
        <f t="shared" si="11"/>
        <v/>
      </c>
    </row>
    <row r="397" spans="6:18" x14ac:dyDescent="0.25">
      <c r="F397"/>
      <c r="G397" s="20"/>
      <c r="H397" s="21"/>
      <c r="K397" s="23"/>
      <c r="L397" t="str">
        <f>IF(K397="","",IFERROR(_xlfn.XLOOKUP(K397,verfvoorraad!C:C,verfvoorraad!B:B),IFERROR(_xlfn.XLOOKUP(IF(LEFT(UPPER(K397),4)="REV-","REV-"&amp;VALUE(MID(K397,5,99)),IF(LEN(K397)=5,LEFT(K397,2)&amp;"."&amp;RIGHT(K397,3),K397)),verfvoorraad!E:E,verfvoorraad!B:B),"Niet gevonden")))</f>
        <v/>
      </c>
      <c r="M397" t="str">
        <f>IF(K397="","",IFERROR(_xlfn.XLOOKUP(K397,verfvoorraad!C:C,verfvoorraad!D:D),IFERROR(_xlfn.XLOOKUP(IF(LEFT(UPPER(K397),4)="REV-","REV-"&amp;VALUE(MID(K397,5,99)),IF(LEN(K397)=5,LEFT(K397,2)&amp;"."&amp;RIGHT(K397,3),K397)),verfvoorraad!E:E,verfvoorraad!D:D),"Niet gevonden")))</f>
        <v/>
      </c>
      <c r="N397" t="str">
        <f>IF(K397="","",IFERROR(_xlfn.XLOOKUP(K397,verfvoorraad!C:C,verfvoorraad!E:E),IFERROR(_xlfn.XLOOKUP(IF(LEFT(UPPER(K397),4)="REV-","REV-"&amp;VALUE(MID(K397,5,99)),IF(LEN(K397)=5,LEFT(K397,2)&amp;"."&amp;RIGHT(K397,3),K397)),verfvoorraad!E:E,verfvoorraad!E:E),"Niet gevonden")))</f>
        <v/>
      </c>
      <c r="O397" t="str">
        <f>IF(K397="","",IFERROR(_xlfn.XLOOKUP(K397,verfvoorraad!C:C,verfvoorraad!F:F),IFERROR(_xlfn.XLOOKUP(IF(LEFT(UPPER(K397),4)="REV-","REV-"&amp;VALUE(MID(K397,5,99)),IF(LEN(K397)=5,LEFT(K397,2)&amp;"."&amp;RIGHT(K397,3),K397)),verfvoorraad!E:E,verfvoorraad!F:F),"Niet gevonden")))</f>
        <v/>
      </c>
      <c r="P397" t="str">
        <f>IF(K397="","",IFERROR(_xlfn.XLOOKUP(K397,verfvoorraad!C:C,verfvoorraad!G:G),IFERROR(_xlfn.XLOOKUP(IF(LEFT(UPPER(K397),4)="REV-","REV-"&amp;VALUE(MID(K397,5,99)),IF(LEN(K397)=5,LEFT(K397,2)&amp;"."&amp;RIGHT(K397,3),K397)),verfvoorraad!E:E,verfvoorraad!G:G),"Niet gevonden")))</f>
        <v/>
      </c>
      <c r="Q397" t="str">
        <f t="shared" si="10"/>
        <v/>
      </c>
      <c r="R397" t="str">
        <f t="shared" si="11"/>
        <v/>
      </c>
    </row>
    <row r="398" spans="6:18" x14ac:dyDescent="0.25">
      <c r="F398"/>
      <c r="G398" s="20"/>
      <c r="H398" s="21"/>
      <c r="K398" s="23"/>
      <c r="L398" t="str">
        <f>IF(K398="","",IFERROR(_xlfn.XLOOKUP(K398,verfvoorraad!C:C,verfvoorraad!B:B),IFERROR(_xlfn.XLOOKUP(IF(LEFT(UPPER(K398),4)="REV-","REV-"&amp;VALUE(MID(K398,5,99)),IF(LEN(K398)=5,LEFT(K398,2)&amp;"."&amp;RIGHT(K398,3),K398)),verfvoorraad!E:E,verfvoorraad!B:B),"Niet gevonden")))</f>
        <v/>
      </c>
      <c r="M398" t="str">
        <f>IF(K398="","",IFERROR(_xlfn.XLOOKUP(K398,verfvoorraad!C:C,verfvoorraad!D:D),IFERROR(_xlfn.XLOOKUP(IF(LEFT(UPPER(K398),4)="REV-","REV-"&amp;VALUE(MID(K398,5,99)),IF(LEN(K398)=5,LEFT(K398,2)&amp;"."&amp;RIGHT(K398,3),K398)),verfvoorraad!E:E,verfvoorraad!D:D),"Niet gevonden")))</f>
        <v/>
      </c>
      <c r="N398" t="str">
        <f>IF(K398="","",IFERROR(_xlfn.XLOOKUP(K398,verfvoorraad!C:C,verfvoorraad!E:E),IFERROR(_xlfn.XLOOKUP(IF(LEFT(UPPER(K398),4)="REV-","REV-"&amp;VALUE(MID(K398,5,99)),IF(LEN(K398)=5,LEFT(K398,2)&amp;"."&amp;RIGHT(K398,3),K398)),verfvoorraad!E:E,verfvoorraad!E:E),"Niet gevonden")))</f>
        <v/>
      </c>
      <c r="O398" t="str">
        <f>IF(K398="","",IFERROR(_xlfn.XLOOKUP(K398,verfvoorraad!C:C,verfvoorraad!F:F),IFERROR(_xlfn.XLOOKUP(IF(LEFT(UPPER(K398),4)="REV-","REV-"&amp;VALUE(MID(K398,5,99)),IF(LEN(K398)=5,LEFT(K398,2)&amp;"."&amp;RIGHT(K398,3),K398)),verfvoorraad!E:E,verfvoorraad!F:F),"Niet gevonden")))</f>
        <v/>
      </c>
      <c r="P398" t="str">
        <f>IF(K398="","",IFERROR(_xlfn.XLOOKUP(K398,verfvoorraad!C:C,verfvoorraad!G:G),IFERROR(_xlfn.XLOOKUP(IF(LEFT(UPPER(K398),4)="REV-","REV-"&amp;VALUE(MID(K398,5,99)),IF(LEN(K398)=5,LEFT(K398,2)&amp;"."&amp;RIGHT(K398,3),K398)),verfvoorraad!E:E,verfvoorraad!G:G),"Niet gevonden")))</f>
        <v/>
      </c>
      <c r="Q398" t="str">
        <f t="shared" si="10"/>
        <v/>
      </c>
      <c r="R398" t="str">
        <f t="shared" si="11"/>
        <v/>
      </c>
    </row>
    <row r="399" spans="6:18" x14ac:dyDescent="0.25">
      <c r="F399"/>
      <c r="G399" s="20"/>
      <c r="H399" s="21"/>
      <c r="K399" s="23"/>
      <c r="L399" t="str">
        <f>IF(K399="","",IFERROR(_xlfn.XLOOKUP(K399,verfvoorraad!C:C,verfvoorraad!B:B),IFERROR(_xlfn.XLOOKUP(IF(LEFT(UPPER(K399),4)="REV-","REV-"&amp;VALUE(MID(K399,5,99)),IF(LEN(K399)=5,LEFT(K399,2)&amp;"."&amp;RIGHT(K399,3),K399)),verfvoorraad!E:E,verfvoorraad!B:B),"Niet gevonden")))</f>
        <v/>
      </c>
      <c r="M399" t="str">
        <f>IF(K399="","",IFERROR(_xlfn.XLOOKUP(K399,verfvoorraad!C:C,verfvoorraad!D:D),IFERROR(_xlfn.XLOOKUP(IF(LEFT(UPPER(K399),4)="REV-","REV-"&amp;VALUE(MID(K399,5,99)),IF(LEN(K399)=5,LEFT(K399,2)&amp;"."&amp;RIGHT(K399,3),K399)),verfvoorraad!E:E,verfvoorraad!D:D),"Niet gevonden")))</f>
        <v/>
      </c>
      <c r="N399" t="str">
        <f>IF(K399="","",IFERROR(_xlfn.XLOOKUP(K399,verfvoorraad!C:C,verfvoorraad!E:E),IFERROR(_xlfn.XLOOKUP(IF(LEFT(UPPER(K399),4)="REV-","REV-"&amp;VALUE(MID(K399,5,99)),IF(LEN(K399)=5,LEFT(K399,2)&amp;"."&amp;RIGHT(K399,3),K399)),verfvoorraad!E:E,verfvoorraad!E:E),"Niet gevonden")))</f>
        <v/>
      </c>
      <c r="O399" t="str">
        <f>IF(K399="","",IFERROR(_xlfn.XLOOKUP(K399,verfvoorraad!C:C,verfvoorraad!F:F),IFERROR(_xlfn.XLOOKUP(IF(LEFT(UPPER(K399),4)="REV-","REV-"&amp;VALUE(MID(K399,5,99)),IF(LEN(K399)=5,LEFT(K399,2)&amp;"."&amp;RIGHT(K399,3),K399)),verfvoorraad!E:E,verfvoorraad!F:F),"Niet gevonden")))</f>
        <v/>
      </c>
      <c r="P399" t="str">
        <f>IF(K399="","",IFERROR(_xlfn.XLOOKUP(K399,verfvoorraad!C:C,verfvoorraad!G:G),IFERROR(_xlfn.XLOOKUP(IF(LEFT(UPPER(K399),4)="REV-","REV-"&amp;VALUE(MID(K399,5,99)),IF(LEN(K399)=5,LEFT(K399,2)&amp;"."&amp;RIGHT(K399,3),K399)),verfvoorraad!E:E,verfvoorraad!G:G),"Niet gevonden")))</f>
        <v/>
      </c>
      <c r="Q399" t="str">
        <f t="shared" si="10"/>
        <v/>
      </c>
      <c r="R399" t="str">
        <f t="shared" si="11"/>
        <v/>
      </c>
    </row>
    <row r="400" spans="6:18" x14ac:dyDescent="0.25">
      <c r="F400"/>
      <c r="G400" s="20"/>
      <c r="H400" s="21"/>
      <c r="K400" s="23"/>
      <c r="L400" t="str">
        <f>IF(K400="","",IFERROR(_xlfn.XLOOKUP(K400,verfvoorraad!C:C,verfvoorraad!B:B),IFERROR(_xlfn.XLOOKUP(IF(LEFT(UPPER(K400),4)="REV-","REV-"&amp;VALUE(MID(K400,5,99)),IF(LEN(K400)=5,LEFT(K400,2)&amp;"."&amp;RIGHT(K400,3),K400)),verfvoorraad!E:E,verfvoorraad!B:B),"Niet gevonden")))</f>
        <v/>
      </c>
      <c r="M400" t="str">
        <f>IF(K400="","",IFERROR(_xlfn.XLOOKUP(K400,verfvoorraad!C:C,verfvoorraad!D:D),IFERROR(_xlfn.XLOOKUP(IF(LEFT(UPPER(K400),4)="REV-","REV-"&amp;VALUE(MID(K400,5,99)),IF(LEN(K400)=5,LEFT(K400,2)&amp;"."&amp;RIGHT(K400,3),K400)),verfvoorraad!E:E,verfvoorraad!D:D),"Niet gevonden")))</f>
        <v/>
      </c>
      <c r="N400" t="str">
        <f>IF(K400="","",IFERROR(_xlfn.XLOOKUP(K400,verfvoorraad!C:C,verfvoorraad!E:E),IFERROR(_xlfn.XLOOKUP(IF(LEFT(UPPER(K400),4)="REV-","REV-"&amp;VALUE(MID(K400,5,99)),IF(LEN(K400)=5,LEFT(K400,2)&amp;"."&amp;RIGHT(K400,3),K400)),verfvoorraad!E:E,verfvoorraad!E:E),"Niet gevonden")))</f>
        <v/>
      </c>
      <c r="O400" t="str">
        <f>IF(K400="","",IFERROR(_xlfn.XLOOKUP(K400,verfvoorraad!C:C,verfvoorraad!F:F),IFERROR(_xlfn.XLOOKUP(IF(LEFT(UPPER(K400),4)="REV-","REV-"&amp;VALUE(MID(K400,5,99)),IF(LEN(K400)=5,LEFT(K400,2)&amp;"."&amp;RIGHT(K400,3),K400)),verfvoorraad!E:E,verfvoorraad!F:F),"Niet gevonden")))</f>
        <v/>
      </c>
      <c r="P400" t="str">
        <f>IF(K400="","",IFERROR(_xlfn.XLOOKUP(K400,verfvoorraad!C:C,verfvoorraad!G:G),IFERROR(_xlfn.XLOOKUP(IF(LEFT(UPPER(K400),4)="REV-","REV-"&amp;VALUE(MID(K400,5,99)),IF(LEN(K400)=5,LEFT(K400,2)&amp;"."&amp;RIGHT(K400,3),K400)),verfvoorraad!E:E,verfvoorraad!G:G),"Niet gevonden")))</f>
        <v/>
      </c>
      <c r="Q400" t="str">
        <f t="shared" si="10"/>
        <v/>
      </c>
      <c r="R400" t="str">
        <f t="shared" si="11"/>
        <v/>
      </c>
    </row>
    <row r="401" spans="6:18" x14ac:dyDescent="0.25">
      <c r="F401"/>
      <c r="G401" s="20"/>
      <c r="H401" s="21"/>
      <c r="K401" s="23"/>
      <c r="L401" t="str">
        <f>IF(K401="","",IFERROR(_xlfn.XLOOKUP(K401,verfvoorraad!C:C,verfvoorraad!B:B),IFERROR(_xlfn.XLOOKUP(IF(LEFT(UPPER(K401),4)="REV-","REV-"&amp;VALUE(MID(K401,5,99)),IF(LEN(K401)=5,LEFT(K401,2)&amp;"."&amp;RIGHT(K401,3),K401)),verfvoorraad!E:E,verfvoorraad!B:B),"Niet gevonden")))</f>
        <v/>
      </c>
      <c r="M401" t="str">
        <f>IF(K401="","",IFERROR(_xlfn.XLOOKUP(K401,verfvoorraad!C:C,verfvoorraad!D:D),IFERROR(_xlfn.XLOOKUP(IF(LEFT(UPPER(K401),4)="REV-","REV-"&amp;VALUE(MID(K401,5,99)),IF(LEN(K401)=5,LEFT(K401,2)&amp;"."&amp;RIGHT(K401,3),K401)),verfvoorraad!E:E,verfvoorraad!D:D),"Niet gevonden")))</f>
        <v/>
      </c>
      <c r="N401" t="str">
        <f>IF(K401="","",IFERROR(_xlfn.XLOOKUP(K401,verfvoorraad!C:C,verfvoorraad!E:E),IFERROR(_xlfn.XLOOKUP(IF(LEFT(UPPER(K401),4)="REV-","REV-"&amp;VALUE(MID(K401,5,99)),IF(LEN(K401)=5,LEFT(K401,2)&amp;"."&amp;RIGHT(K401,3),K401)),verfvoorraad!E:E,verfvoorraad!E:E),"Niet gevonden")))</f>
        <v/>
      </c>
      <c r="O401" t="str">
        <f>IF(K401="","",IFERROR(_xlfn.XLOOKUP(K401,verfvoorraad!C:C,verfvoorraad!F:F),IFERROR(_xlfn.XLOOKUP(IF(LEFT(UPPER(K401),4)="REV-","REV-"&amp;VALUE(MID(K401,5,99)),IF(LEN(K401)=5,LEFT(K401,2)&amp;"."&amp;RIGHT(K401,3),K401)),verfvoorraad!E:E,verfvoorraad!F:F),"Niet gevonden")))</f>
        <v/>
      </c>
      <c r="P401" t="str">
        <f>IF(K401="","",IFERROR(_xlfn.XLOOKUP(K401,verfvoorraad!C:C,verfvoorraad!G:G),IFERROR(_xlfn.XLOOKUP(IF(LEFT(UPPER(K401),4)="REV-","REV-"&amp;VALUE(MID(K401,5,99)),IF(LEN(K401)=5,LEFT(K401,2)&amp;"."&amp;RIGHT(K401,3),K401)),verfvoorraad!E:E,verfvoorraad!G:G),"Niet gevonden")))</f>
        <v/>
      </c>
      <c r="Q401" t="str">
        <f t="shared" si="10"/>
        <v/>
      </c>
      <c r="R401" t="str">
        <f t="shared" si="11"/>
        <v/>
      </c>
    </row>
    <row r="402" spans="6:18" x14ac:dyDescent="0.25">
      <c r="F402"/>
      <c r="G402" s="20"/>
      <c r="H402" s="21"/>
      <c r="K402" s="23"/>
      <c r="L402" t="str">
        <f>IF(K402="","",IFERROR(_xlfn.XLOOKUP(K402,verfvoorraad!C:C,verfvoorraad!B:B),IFERROR(_xlfn.XLOOKUP(IF(LEFT(UPPER(K402),4)="REV-","REV-"&amp;VALUE(MID(K402,5,99)),IF(LEN(K402)=5,LEFT(K402,2)&amp;"."&amp;RIGHT(K402,3),K402)),verfvoorraad!E:E,verfvoorraad!B:B),"Niet gevonden")))</f>
        <v/>
      </c>
      <c r="M402" t="str">
        <f>IF(K402="","",IFERROR(_xlfn.XLOOKUP(K402,verfvoorraad!C:C,verfvoorraad!D:D),IFERROR(_xlfn.XLOOKUP(IF(LEFT(UPPER(K402),4)="REV-","REV-"&amp;VALUE(MID(K402,5,99)),IF(LEN(K402)=5,LEFT(K402,2)&amp;"."&amp;RIGHT(K402,3),K402)),verfvoorraad!E:E,verfvoorraad!D:D),"Niet gevonden")))</f>
        <v/>
      </c>
      <c r="N402" t="str">
        <f>IF(K402="","",IFERROR(_xlfn.XLOOKUP(K402,verfvoorraad!C:C,verfvoorraad!E:E),IFERROR(_xlfn.XLOOKUP(IF(LEFT(UPPER(K402),4)="REV-","REV-"&amp;VALUE(MID(K402,5,99)),IF(LEN(K402)=5,LEFT(K402,2)&amp;"."&amp;RIGHT(K402,3),K402)),verfvoorraad!E:E,verfvoorraad!E:E),"Niet gevonden")))</f>
        <v/>
      </c>
      <c r="O402" t="str">
        <f>IF(K402="","",IFERROR(_xlfn.XLOOKUP(K402,verfvoorraad!C:C,verfvoorraad!F:F),IFERROR(_xlfn.XLOOKUP(IF(LEFT(UPPER(K402),4)="REV-","REV-"&amp;VALUE(MID(K402,5,99)),IF(LEN(K402)=5,LEFT(K402,2)&amp;"."&amp;RIGHT(K402,3),K402)),verfvoorraad!E:E,verfvoorraad!F:F),"Niet gevonden")))</f>
        <v/>
      </c>
      <c r="P402" t="str">
        <f>IF(K402="","",IFERROR(_xlfn.XLOOKUP(K402,verfvoorraad!C:C,verfvoorraad!G:G),IFERROR(_xlfn.XLOOKUP(IF(LEFT(UPPER(K402),4)="REV-","REV-"&amp;VALUE(MID(K402,5,99)),IF(LEN(K402)=5,LEFT(K402,2)&amp;"."&amp;RIGHT(K402,3),K402)),verfvoorraad!E:E,verfvoorraad!G:G),"Niet gevonden")))</f>
        <v/>
      </c>
      <c r="Q402" t="str">
        <f t="shared" si="10"/>
        <v/>
      </c>
      <c r="R402" t="str">
        <f t="shared" si="11"/>
        <v/>
      </c>
    </row>
    <row r="403" spans="6:18" x14ac:dyDescent="0.25">
      <c r="F403"/>
      <c r="G403" s="20"/>
      <c r="H403" s="21"/>
      <c r="K403" s="23"/>
      <c r="L403" t="str">
        <f>IF(K403="","",IFERROR(_xlfn.XLOOKUP(K403,verfvoorraad!C:C,verfvoorraad!B:B),IFERROR(_xlfn.XLOOKUP(IF(LEFT(UPPER(K403),4)="REV-","REV-"&amp;VALUE(MID(K403,5,99)),IF(LEN(K403)=5,LEFT(K403,2)&amp;"."&amp;RIGHT(K403,3),K403)),verfvoorraad!E:E,verfvoorraad!B:B),"Niet gevonden")))</f>
        <v/>
      </c>
      <c r="M403" t="str">
        <f>IF(K403="","",IFERROR(_xlfn.XLOOKUP(K403,verfvoorraad!C:C,verfvoorraad!D:D),IFERROR(_xlfn.XLOOKUP(IF(LEFT(UPPER(K403),4)="REV-","REV-"&amp;VALUE(MID(K403,5,99)),IF(LEN(K403)=5,LEFT(K403,2)&amp;"."&amp;RIGHT(K403,3),K403)),verfvoorraad!E:E,verfvoorraad!D:D),"Niet gevonden")))</f>
        <v/>
      </c>
      <c r="N403" t="str">
        <f>IF(K403="","",IFERROR(_xlfn.XLOOKUP(K403,verfvoorraad!C:C,verfvoorraad!E:E),IFERROR(_xlfn.XLOOKUP(IF(LEFT(UPPER(K403),4)="REV-","REV-"&amp;VALUE(MID(K403,5,99)),IF(LEN(K403)=5,LEFT(K403,2)&amp;"."&amp;RIGHT(K403,3),K403)),verfvoorraad!E:E,verfvoorraad!E:E),"Niet gevonden")))</f>
        <v/>
      </c>
      <c r="O403" t="str">
        <f>IF(K403="","",IFERROR(_xlfn.XLOOKUP(K403,verfvoorraad!C:C,verfvoorraad!F:F),IFERROR(_xlfn.XLOOKUP(IF(LEFT(UPPER(K403),4)="REV-","REV-"&amp;VALUE(MID(K403,5,99)),IF(LEN(K403)=5,LEFT(K403,2)&amp;"."&amp;RIGHT(K403,3),K403)),verfvoorraad!E:E,verfvoorraad!F:F),"Niet gevonden")))</f>
        <v/>
      </c>
      <c r="P403" t="str">
        <f>IF(K403="","",IFERROR(_xlfn.XLOOKUP(K403,verfvoorraad!C:C,verfvoorraad!G:G),IFERROR(_xlfn.XLOOKUP(IF(LEFT(UPPER(K403),4)="REV-","REV-"&amp;VALUE(MID(K403,5,99)),IF(LEN(K403)=5,LEFT(K403,2)&amp;"."&amp;RIGHT(K403,3),K403)),verfvoorraad!E:E,verfvoorraad!G:G),"Niet gevonden")))</f>
        <v/>
      </c>
      <c r="Q403" t="str">
        <f t="shared" si="10"/>
        <v/>
      </c>
      <c r="R403" t="str">
        <f t="shared" si="11"/>
        <v/>
      </c>
    </row>
    <row r="404" spans="6:18" x14ac:dyDescent="0.25">
      <c r="F404"/>
      <c r="G404" s="20"/>
      <c r="H404" s="21"/>
      <c r="K404" s="23"/>
      <c r="L404" t="str">
        <f>IF(K404="","",IFERROR(_xlfn.XLOOKUP(K404,verfvoorraad!C:C,verfvoorraad!B:B),IFERROR(_xlfn.XLOOKUP(IF(LEFT(UPPER(K404),4)="REV-","REV-"&amp;VALUE(MID(K404,5,99)),IF(LEN(K404)=5,LEFT(K404,2)&amp;"."&amp;RIGHT(K404,3),K404)),verfvoorraad!E:E,verfvoorraad!B:B),"Niet gevonden")))</f>
        <v/>
      </c>
      <c r="M404" t="str">
        <f>IF(K404="","",IFERROR(_xlfn.XLOOKUP(K404,verfvoorraad!C:C,verfvoorraad!D:D),IFERROR(_xlfn.XLOOKUP(IF(LEFT(UPPER(K404),4)="REV-","REV-"&amp;VALUE(MID(K404,5,99)),IF(LEN(K404)=5,LEFT(K404,2)&amp;"."&amp;RIGHT(K404,3),K404)),verfvoorraad!E:E,verfvoorraad!D:D),"Niet gevonden")))</f>
        <v/>
      </c>
      <c r="N404" t="str">
        <f>IF(K404="","",IFERROR(_xlfn.XLOOKUP(K404,verfvoorraad!C:C,verfvoorraad!E:E),IFERROR(_xlfn.XLOOKUP(IF(LEFT(UPPER(K404),4)="REV-","REV-"&amp;VALUE(MID(K404,5,99)),IF(LEN(K404)=5,LEFT(K404,2)&amp;"."&amp;RIGHT(K404,3),K404)),verfvoorraad!E:E,verfvoorraad!E:E),"Niet gevonden")))</f>
        <v/>
      </c>
      <c r="O404" t="str">
        <f>IF(K404="","",IFERROR(_xlfn.XLOOKUP(K404,verfvoorraad!C:C,verfvoorraad!F:F),IFERROR(_xlfn.XLOOKUP(IF(LEFT(UPPER(K404),4)="REV-","REV-"&amp;VALUE(MID(K404,5,99)),IF(LEN(K404)=5,LEFT(K404,2)&amp;"."&amp;RIGHT(K404,3),K404)),verfvoorraad!E:E,verfvoorraad!F:F),"Niet gevonden")))</f>
        <v/>
      </c>
      <c r="P404" t="str">
        <f>IF(K404="","",IFERROR(_xlfn.XLOOKUP(K404,verfvoorraad!C:C,verfvoorraad!G:G),IFERROR(_xlfn.XLOOKUP(IF(LEFT(UPPER(K404),4)="REV-","REV-"&amp;VALUE(MID(K404,5,99)),IF(LEN(K404)=5,LEFT(K404,2)&amp;"."&amp;RIGHT(K404,3),K404)),verfvoorraad!E:E,verfvoorraad!G:G),"Niet gevonden")))</f>
        <v/>
      </c>
      <c r="Q404" t="str">
        <f t="shared" si="10"/>
        <v/>
      </c>
      <c r="R404" t="str">
        <f t="shared" si="11"/>
        <v/>
      </c>
    </row>
    <row r="405" spans="6:18" x14ac:dyDescent="0.25">
      <c r="F405"/>
      <c r="G405" s="20"/>
      <c r="H405" s="21"/>
      <c r="K405" s="23"/>
      <c r="L405" t="str">
        <f>IF(K405="","",IFERROR(_xlfn.XLOOKUP(K405,verfvoorraad!C:C,verfvoorraad!B:B),IFERROR(_xlfn.XLOOKUP(IF(LEFT(UPPER(K405),4)="REV-","REV-"&amp;VALUE(MID(K405,5,99)),IF(LEN(K405)=5,LEFT(K405,2)&amp;"."&amp;RIGHT(K405,3),K405)),verfvoorraad!E:E,verfvoorraad!B:B),"Niet gevonden")))</f>
        <v/>
      </c>
      <c r="M405" t="str">
        <f>IF(K405="","",IFERROR(_xlfn.XLOOKUP(K405,verfvoorraad!C:C,verfvoorraad!D:D),IFERROR(_xlfn.XLOOKUP(IF(LEFT(UPPER(K405),4)="REV-","REV-"&amp;VALUE(MID(K405,5,99)),IF(LEN(K405)=5,LEFT(K405,2)&amp;"."&amp;RIGHT(K405,3),K405)),verfvoorraad!E:E,verfvoorraad!D:D),"Niet gevonden")))</f>
        <v/>
      </c>
      <c r="N405" t="str">
        <f>IF(K405="","",IFERROR(_xlfn.XLOOKUP(K405,verfvoorraad!C:C,verfvoorraad!E:E),IFERROR(_xlfn.XLOOKUP(IF(LEFT(UPPER(K405),4)="REV-","REV-"&amp;VALUE(MID(K405,5,99)),IF(LEN(K405)=5,LEFT(K405,2)&amp;"."&amp;RIGHT(K405,3),K405)),verfvoorraad!E:E,verfvoorraad!E:E),"Niet gevonden")))</f>
        <v/>
      </c>
      <c r="O405" t="str">
        <f>IF(K405="","",IFERROR(_xlfn.XLOOKUP(K405,verfvoorraad!C:C,verfvoorraad!F:F),IFERROR(_xlfn.XLOOKUP(IF(LEFT(UPPER(K405),4)="REV-","REV-"&amp;VALUE(MID(K405,5,99)),IF(LEN(K405)=5,LEFT(K405,2)&amp;"."&amp;RIGHT(K405,3),K405)),verfvoorraad!E:E,verfvoorraad!F:F),"Niet gevonden")))</f>
        <v/>
      </c>
      <c r="P405" t="str">
        <f>IF(K405="","",IFERROR(_xlfn.XLOOKUP(K405,verfvoorraad!C:C,verfvoorraad!G:G),IFERROR(_xlfn.XLOOKUP(IF(LEFT(UPPER(K405),4)="REV-","REV-"&amp;VALUE(MID(K405,5,99)),IF(LEN(K405)=5,LEFT(K405,2)&amp;"."&amp;RIGHT(K405,3),K405)),verfvoorraad!E:E,verfvoorraad!G:G),"Niet gevonden")))</f>
        <v/>
      </c>
      <c r="Q405" t="str">
        <f t="shared" ref="Q405:Q468" si="12">IF(K405="","",IF(O405="Ja","Nee",IF(O405="Nee","Ja",IF(O405="Niet gevonden","Niet gevonden",""))))</f>
        <v/>
      </c>
      <c r="R405" t="str">
        <f t="shared" ref="R405:R468" si="13">IF(Q405="Ja","Toevoegen","")</f>
        <v/>
      </c>
    </row>
    <row r="406" spans="6:18" x14ac:dyDescent="0.25">
      <c r="F406"/>
      <c r="G406" s="20"/>
      <c r="H406" s="21"/>
      <c r="K406" s="23"/>
      <c r="L406" t="str">
        <f>IF(K406="","",IFERROR(_xlfn.XLOOKUP(K406,verfvoorraad!C:C,verfvoorraad!B:B),IFERROR(_xlfn.XLOOKUP(IF(LEFT(UPPER(K406),4)="REV-","REV-"&amp;VALUE(MID(K406,5,99)),IF(LEN(K406)=5,LEFT(K406,2)&amp;"."&amp;RIGHT(K406,3),K406)),verfvoorraad!E:E,verfvoorraad!B:B),"Niet gevonden")))</f>
        <v/>
      </c>
      <c r="M406" t="str">
        <f>IF(K406="","",IFERROR(_xlfn.XLOOKUP(K406,verfvoorraad!C:C,verfvoorraad!D:D),IFERROR(_xlfn.XLOOKUP(IF(LEFT(UPPER(K406),4)="REV-","REV-"&amp;VALUE(MID(K406,5,99)),IF(LEN(K406)=5,LEFT(K406,2)&amp;"."&amp;RIGHT(K406,3),K406)),verfvoorraad!E:E,verfvoorraad!D:D),"Niet gevonden")))</f>
        <v/>
      </c>
      <c r="N406" t="str">
        <f>IF(K406="","",IFERROR(_xlfn.XLOOKUP(K406,verfvoorraad!C:C,verfvoorraad!E:E),IFERROR(_xlfn.XLOOKUP(IF(LEFT(UPPER(K406),4)="REV-","REV-"&amp;VALUE(MID(K406,5,99)),IF(LEN(K406)=5,LEFT(K406,2)&amp;"."&amp;RIGHT(K406,3),K406)),verfvoorraad!E:E,verfvoorraad!E:E),"Niet gevonden")))</f>
        <v/>
      </c>
      <c r="O406" t="str">
        <f>IF(K406="","",IFERROR(_xlfn.XLOOKUP(K406,verfvoorraad!C:C,verfvoorraad!F:F),IFERROR(_xlfn.XLOOKUP(IF(LEFT(UPPER(K406),4)="REV-","REV-"&amp;VALUE(MID(K406,5,99)),IF(LEN(K406)=5,LEFT(K406,2)&amp;"."&amp;RIGHT(K406,3),K406)),verfvoorraad!E:E,verfvoorraad!F:F),"Niet gevonden")))</f>
        <v/>
      </c>
      <c r="P406" t="str">
        <f>IF(K406="","",IFERROR(_xlfn.XLOOKUP(K406,verfvoorraad!C:C,verfvoorraad!G:G),IFERROR(_xlfn.XLOOKUP(IF(LEFT(UPPER(K406),4)="REV-","REV-"&amp;VALUE(MID(K406,5,99)),IF(LEN(K406)=5,LEFT(K406,2)&amp;"."&amp;RIGHT(K406,3),K406)),verfvoorraad!E:E,verfvoorraad!G:G),"Niet gevonden")))</f>
        <v/>
      </c>
      <c r="Q406" t="str">
        <f t="shared" si="12"/>
        <v/>
      </c>
      <c r="R406" t="str">
        <f t="shared" si="13"/>
        <v/>
      </c>
    </row>
    <row r="407" spans="6:18" x14ac:dyDescent="0.25">
      <c r="F407"/>
      <c r="G407" s="20"/>
      <c r="H407" s="21"/>
      <c r="K407" s="23"/>
      <c r="L407" t="str">
        <f>IF(K407="","",IFERROR(_xlfn.XLOOKUP(K407,verfvoorraad!C:C,verfvoorraad!B:B),IFERROR(_xlfn.XLOOKUP(IF(LEFT(UPPER(K407),4)="REV-","REV-"&amp;VALUE(MID(K407,5,99)),IF(LEN(K407)=5,LEFT(K407,2)&amp;"."&amp;RIGHT(K407,3),K407)),verfvoorraad!E:E,verfvoorraad!B:B),"Niet gevonden")))</f>
        <v/>
      </c>
      <c r="M407" t="str">
        <f>IF(K407="","",IFERROR(_xlfn.XLOOKUP(K407,verfvoorraad!C:C,verfvoorraad!D:D),IFERROR(_xlfn.XLOOKUP(IF(LEFT(UPPER(K407),4)="REV-","REV-"&amp;VALUE(MID(K407,5,99)),IF(LEN(K407)=5,LEFT(K407,2)&amp;"."&amp;RIGHT(K407,3),K407)),verfvoorraad!E:E,verfvoorraad!D:D),"Niet gevonden")))</f>
        <v/>
      </c>
      <c r="N407" t="str">
        <f>IF(K407="","",IFERROR(_xlfn.XLOOKUP(K407,verfvoorraad!C:C,verfvoorraad!E:E),IFERROR(_xlfn.XLOOKUP(IF(LEFT(UPPER(K407),4)="REV-","REV-"&amp;VALUE(MID(K407,5,99)),IF(LEN(K407)=5,LEFT(K407,2)&amp;"."&amp;RIGHT(K407,3),K407)),verfvoorraad!E:E,verfvoorraad!E:E),"Niet gevonden")))</f>
        <v/>
      </c>
      <c r="O407" t="str">
        <f>IF(K407="","",IFERROR(_xlfn.XLOOKUP(K407,verfvoorraad!C:C,verfvoorraad!F:F),IFERROR(_xlfn.XLOOKUP(IF(LEFT(UPPER(K407),4)="REV-","REV-"&amp;VALUE(MID(K407,5,99)),IF(LEN(K407)=5,LEFT(K407,2)&amp;"."&amp;RIGHT(K407,3),K407)),verfvoorraad!E:E,verfvoorraad!F:F),"Niet gevonden")))</f>
        <v/>
      </c>
      <c r="P407" t="str">
        <f>IF(K407="","",IFERROR(_xlfn.XLOOKUP(K407,verfvoorraad!C:C,verfvoorraad!G:G),IFERROR(_xlfn.XLOOKUP(IF(LEFT(UPPER(K407),4)="REV-","REV-"&amp;VALUE(MID(K407,5,99)),IF(LEN(K407)=5,LEFT(K407,2)&amp;"."&amp;RIGHT(K407,3),K407)),verfvoorraad!E:E,verfvoorraad!G:G),"Niet gevonden")))</f>
        <v/>
      </c>
      <c r="Q407" t="str">
        <f t="shared" si="12"/>
        <v/>
      </c>
      <c r="R407" t="str">
        <f t="shared" si="13"/>
        <v/>
      </c>
    </row>
    <row r="408" spans="6:18" x14ac:dyDescent="0.25">
      <c r="F408"/>
      <c r="G408" s="20"/>
      <c r="H408" s="21"/>
      <c r="K408" s="23"/>
      <c r="L408" t="str">
        <f>IF(K408="","",IFERROR(_xlfn.XLOOKUP(K408,verfvoorraad!C:C,verfvoorraad!B:B),IFERROR(_xlfn.XLOOKUP(IF(LEFT(UPPER(K408),4)="REV-","REV-"&amp;VALUE(MID(K408,5,99)),IF(LEN(K408)=5,LEFT(K408,2)&amp;"."&amp;RIGHT(K408,3),K408)),verfvoorraad!E:E,verfvoorraad!B:B),"Niet gevonden")))</f>
        <v/>
      </c>
      <c r="M408" t="str">
        <f>IF(K408="","",IFERROR(_xlfn.XLOOKUP(K408,verfvoorraad!C:C,verfvoorraad!D:D),IFERROR(_xlfn.XLOOKUP(IF(LEFT(UPPER(K408),4)="REV-","REV-"&amp;VALUE(MID(K408,5,99)),IF(LEN(K408)=5,LEFT(K408,2)&amp;"."&amp;RIGHT(K408,3),K408)),verfvoorraad!E:E,verfvoorraad!D:D),"Niet gevonden")))</f>
        <v/>
      </c>
      <c r="N408" t="str">
        <f>IF(K408="","",IFERROR(_xlfn.XLOOKUP(K408,verfvoorraad!C:C,verfvoorraad!E:E),IFERROR(_xlfn.XLOOKUP(IF(LEFT(UPPER(K408),4)="REV-","REV-"&amp;VALUE(MID(K408,5,99)),IF(LEN(K408)=5,LEFT(K408,2)&amp;"."&amp;RIGHT(K408,3),K408)),verfvoorraad!E:E,verfvoorraad!E:E),"Niet gevonden")))</f>
        <v/>
      </c>
      <c r="O408" t="str">
        <f>IF(K408="","",IFERROR(_xlfn.XLOOKUP(K408,verfvoorraad!C:C,verfvoorraad!F:F),IFERROR(_xlfn.XLOOKUP(IF(LEFT(UPPER(K408),4)="REV-","REV-"&amp;VALUE(MID(K408,5,99)),IF(LEN(K408)=5,LEFT(K408,2)&amp;"."&amp;RIGHT(K408,3),K408)),verfvoorraad!E:E,verfvoorraad!F:F),"Niet gevonden")))</f>
        <v/>
      </c>
      <c r="P408" t="str">
        <f>IF(K408="","",IFERROR(_xlfn.XLOOKUP(K408,verfvoorraad!C:C,verfvoorraad!G:G),IFERROR(_xlfn.XLOOKUP(IF(LEFT(UPPER(K408),4)="REV-","REV-"&amp;VALUE(MID(K408,5,99)),IF(LEN(K408)=5,LEFT(K408,2)&amp;"."&amp;RIGHT(K408,3),K408)),verfvoorraad!E:E,verfvoorraad!G:G),"Niet gevonden")))</f>
        <v/>
      </c>
      <c r="Q408" t="str">
        <f t="shared" si="12"/>
        <v/>
      </c>
      <c r="R408" t="str">
        <f t="shared" si="13"/>
        <v/>
      </c>
    </row>
    <row r="409" spans="6:18" x14ac:dyDescent="0.25">
      <c r="F409"/>
      <c r="G409" s="20"/>
      <c r="H409" s="21"/>
      <c r="K409" s="23"/>
      <c r="L409" t="str">
        <f>IF(K409="","",IFERROR(_xlfn.XLOOKUP(K409,verfvoorraad!C:C,verfvoorraad!B:B),IFERROR(_xlfn.XLOOKUP(IF(LEFT(UPPER(K409),4)="REV-","REV-"&amp;VALUE(MID(K409,5,99)),IF(LEN(K409)=5,LEFT(K409,2)&amp;"."&amp;RIGHT(K409,3),K409)),verfvoorraad!E:E,verfvoorraad!B:B),"Niet gevonden")))</f>
        <v/>
      </c>
      <c r="M409" t="str">
        <f>IF(K409="","",IFERROR(_xlfn.XLOOKUP(K409,verfvoorraad!C:C,verfvoorraad!D:D),IFERROR(_xlfn.XLOOKUP(IF(LEFT(UPPER(K409),4)="REV-","REV-"&amp;VALUE(MID(K409,5,99)),IF(LEN(K409)=5,LEFT(K409,2)&amp;"."&amp;RIGHT(K409,3),K409)),verfvoorraad!E:E,verfvoorraad!D:D),"Niet gevonden")))</f>
        <v/>
      </c>
      <c r="N409" t="str">
        <f>IF(K409="","",IFERROR(_xlfn.XLOOKUP(K409,verfvoorraad!C:C,verfvoorraad!E:E),IFERROR(_xlfn.XLOOKUP(IF(LEFT(UPPER(K409),4)="REV-","REV-"&amp;VALUE(MID(K409,5,99)),IF(LEN(K409)=5,LEFT(K409,2)&amp;"."&amp;RIGHT(K409,3),K409)),verfvoorraad!E:E,verfvoorraad!E:E),"Niet gevonden")))</f>
        <v/>
      </c>
      <c r="O409" t="str">
        <f>IF(K409="","",IFERROR(_xlfn.XLOOKUP(K409,verfvoorraad!C:C,verfvoorraad!F:F),IFERROR(_xlfn.XLOOKUP(IF(LEFT(UPPER(K409),4)="REV-","REV-"&amp;VALUE(MID(K409,5,99)),IF(LEN(K409)=5,LEFT(K409,2)&amp;"."&amp;RIGHT(K409,3),K409)),verfvoorraad!E:E,verfvoorraad!F:F),"Niet gevonden")))</f>
        <v/>
      </c>
      <c r="P409" t="str">
        <f>IF(K409="","",IFERROR(_xlfn.XLOOKUP(K409,verfvoorraad!C:C,verfvoorraad!G:G),IFERROR(_xlfn.XLOOKUP(IF(LEFT(UPPER(K409),4)="REV-","REV-"&amp;VALUE(MID(K409,5,99)),IF(LEN(K409)=5,LEFT(K409,2)&amp;"."&amp;RIGHT(K409,3),K409)),verfvoorraad!E:E,verfvoorraad!G:G),"Niet gevonden")))</f>
        <v/>
      </c>
      <c r="Q409" t="str">
        <f t="shared" si="12"/>
        <v/>
      </c>
      <c r="R409" t="str">
        <f t="shared" si="13"/>
        <v/>
      </c>
    </row>
    <row r="410" spans="6:18" x14ac:dyDescent="0.25">
      <c r="F410"/>
      <c r="G410" s="20"/>
      <c r="H410" s="21"/>
      <c r="K410" s="23"/>
      <c r="L410" t="str">
        <f>IF(K410="","",IFERROR(_xlfn.XLOOKUP(K410,verfvoorraad!C:C,verfvoorraad!B:B),IFERROR(_xlfn.XLOOKUP(IF(LEFT(UPPER(K410),4)="REV-","REV-"&amp;VALUE(MID(K410,5,99)),IF(LEN(K410)=5,LEFT(K410,2)&amp;"."&amp;RIGHT(K410,3),K410)),verfvoorraad!E:E,verfvoorraad!B:B),"Niet gevonden")))</f>
        <v/>
      </c>
      <c r="M410" t="str">
        <f>IF(K410="","",IFERROR(_xlfn.XLOOKUP(K410,verfvoorraad!C:C,verfvoorraad!D:D),IFERROR(_xlfn.XLOOKUP(IF(LEFT(UPPER(K410),4)="REV-","REV-"&amp;VALUE(MID(K410,5,99)),IF(LEN(K410)=5,LEFT(K410,2)&amp;"."&amp;RIGHT(K410,3),K410)),verfvoorraad!E:E,verfvoorraad!D:D),"Niet gevonden")))</f>
        <v/>
      </c>
      <c r="N410" t="str">
        <f>IF(K410="","",IFERROR(_xlfn.XLOOKUP(K410,verfvoorraad!C:C,verfvoorraad!E:E),IFERROR(_xlfn.XLOOKUP(IF(LEFT(UPPER(K410),4)="REV-","REV-"&amp;VALUE(MID(K410,5,99)),IF(LEN(K410)=5,LEFT(K410,2)&amp;"."&amp;RIGHT(K410,3),K410)),verfvoorraad!E:E,verfvoorraad!E:E),"Niet gevonden")))</f>
        <v/>
      </c>
      <c r="O410" t="str">
        <f>IF(K410="","",IFERROR(_xlfn.XLOOKUP(K410,verfvoorraad!C:C,verfvoorraad!F:F),IFERROR(_xlfn.XLOOKUP(IF(LEFT(UPPER(K410),4)="REV-","REV-"&amp;VALUE(MID(K410,5,99)),IF(LEN(K410)=5,LEFT(K410,2)&amp;"."&amp;RIGHT(K410,3),K410)),verfvoorraad!E:E,verfvoorraad!F:F),"Niet gevonden")))</f>
        <v/>
      </c>
      <c r="P410" t="str">
        <f>IF(K410="","",IFERROR(_xlfn.XLOOKUP(K410,verfvoorraad!C:C,verfvoorraad!G:G),IFERROR(_xlfn.XLOOKUP(IF(LEFT(UPPER(K410),4)="REV-","REV-"&amp;VALUE(MID(K410,5,99)),IF(LEN(K410)=5,LEFT(K410,2)&amp;"."&amp;RIGHT(K410,3),K410)),verfvoorraad!E:E,verfvoorraad!G:G),"Niet gevonden")))</f>
        <v/>
      </c>
      <c r="Q410" t="str">
        <f t="shared" si="12"/>
        <v/>
      </c>
      <c r="R410" t="str">
        <f t="shared" si="13"/>
        <v/>
      </c>
    </row>
    <row r="411" spans="6:18" x14ac:dyDescent="0.25">
      <c r="F411"/>
      <c r="G411" s="20"/>
      <c r="H411" s="21"/>
      <c r="K411" s="23"/>
      <c r="L411" t="str">
        <f>IF(K411="","",IFERROR(_xlfn.XLOOKUP(K411,verfvoorraad!C:C,verfvoorraad!B:B),IFERROR(_xlfn.XLOOKUP(IF(LEFT(UPPER(K411),4)="REV-","REV-"&amp;VALUE(MID(K411,5,99)),IF(LEN(K411)=5,LEFT(K411,2)&amp;"."&amp;RIGHT(K411,3),K411)),verfvoorraad!E:E,verfvoorraad!B:B),"Niet gevonden")))</f>
        <v/>
      </c>
      <c r="M411" t="str">
        <f>IF(K411="","",IFERROR(_xlfn.XLOOKUP(K411,verfvoorraad!C:C,verfvoorraad!D:D),IFERROR(_xlfn.XLOOKUP(IF(LEFT(UPPER(K411),4)="REV-","REV-"&amp;VALUE(MID(K411,5,99)),IF(LEN(K411)=5,LEFT(K411,2)&amp;"."&amp;RIGHT(K411,3),K411)),verfvoorraad!E:E,verfvoorraad!D:D),"Niet gevonden")))</f>
        <v/>
      </c>
      <c r="N411" t="str">
        <f>IF(K411="","",IFERROR(_xlfn.XLOOKUP(K411,verfvoorraad!C:C,verfvoorraad!E:E),IFERROR(_xlfn.XLOOKUP(IF(LEFT(UPPER(K411),4)="REV-","REV-"&amp;VALUE(MID(K411,5,99)),IF(LEN(K411)=5,LEFT(K411,2)&amp;"."&amp;RIGHT(K411,3),K411)),verfvoorraad!E:E,verfvoorraad!E:E),"Niet gevonden")))</f>
        <v/>
      </c>
      <c r="O411" t="str">
        <f>IF(K411="","",IFERROR(_xlfn.XLOOKUP(K411,verfvoorraad!C:C,verfvoorraad!F:F),IFERROR(_xlfn.XLOOKUP(IF(LEFT(UPPER(K411),4)="REV-","REV-"&amp;VALUE(MID(K411,5,99)),IF(LEN(K411)=5,LEFT(K411,2)&amp;"."&amp;RIGHT(K411,3),K411)),verfvoorraad!E:E,verfvoorraad!F:F),"Niet gevonden")))</f>
        <v/>
      </c>
      <c r="P411" t="str">
        <f>IF(K411="","",IFERROR(_xlfn.XLOOKUP(K411,verfvoorraad!C:C,verfvoorraad!G:G),IFERROR(_xlfn.XLOOKUP(IF(LEFT(UPPER(K411),4)="REV-","REV-"&amp;VALUE(MID(K411,5,99)),IF(LEN(K411)=5,LEFT(K411,2)&amp;"."&amp;RIGHT(K411,3),K411)),verfvoorraad!E:E,verfvoorraad!G:G),"Niet gevonden")))</f>
        <v/>
      </c>
      <c r="Q411" t="str">
        <f t="shared" si="12"/>
        <v/>
      </c>
      <c r="R411" t="str">
        <f t="shared" si="13"/>
        <v/>
      </c>
    </row>
    <row r="412" spans="6:18" x14ac:dyDescent="0.25">
      <c r="F412"/>
      <c r="G412" s="20"/>
      <c r="H412" s="21"/>
      <c r="K412" s="23"/>
      <c r="L412" t="str">
        <f>IF(K412="","",IFERROR(_xlfn.XLOOKUP(K412,verfvoorraad!C:C,verfvoorraad!B:B),IFERROR(_xlfn.XLOOKUP(IF(LEFT(UPPER(K412),4)="REV-","REV-"&amp;VALUE(MID(K412,5,99)),IF(LEN(K412)=5,LEFT(K412,2)&amp;"."&amp;RIGHT(K412,3),K412)),verfvoorraad!E:E,verfvoorraad!B:B),"Niet gevonden")))</f>
        <v/>
      </c>
      <c r="M412" t="str">
        <f>IF(K412="","",IFERROR(_xlfn.XLOOKUP(K412,verfvoorraad!C:C,verfvoorraad!D:D),IFERROR(_xlfn.XLOOKUP(IF(LEFT(UPPER(K412),4)="REV-","REV-"&amp;VALUE(MID(K412,5,99)),IF(LEN(K412)=5,LEFT(K412,2)&amp;"."&amp;RIGHT(K412,3),K412)),verfvoorraad!E:E,verfvoorraad!D:D),"Niet gevonden")))</f>
        <v/>
      </c>
      <c r="N412" t="str">
        <f>IF(K412="","",IFERROR(_xlfn.XLOOKUP(K412,verfvoorraad!C:C,verfvoorraad!E:E),IFERROR(_xlfn.XLOOKUP(IF(LEFT(UPPER(K412),4)="REV-","REV-"&amp;VALUE(MID(K412,5,99)),IF(LEN(K412)=5,LEFT(K412,2)&amp;"."&amp;RIGHT(K412,3),K412)),verfvoorraad!E:E,verfvoorraad!E:E),"Niet gevonden")))</f>
        <v/>
      </c>
      <c r="O412" t="str">
        <f>IF(K412="","",IFERROR(_xlfn.XLOOKUP(K412,verfvoorraad!C:C,verfvoorraad!F:F),IFERROR(_xlfn.XLOOKUP(IF(LEFT(UPPER(K412),4)="REV-","REV-"&amp;VALUE(MID(K412,5,99)),IF(LEN(K412)=5,LEFT(K412,2)&amp;"."&amp;RIGHT(K412,3),K412)),verfvoorraad!E:E,verfvoorraad!F:F),"Niet gevonden")))</f>
        <v/>
      </c>
      <c r="P412" t="str">
        <f>IF(K412="","",IFERROR(_xlfn.XLOOKUP(K412,verfvoorraad!C:C,verfvoorraad!G:G),IFERROR(_xlfn.XLOOKUP(IF(LEFT(UPPER(K412),4)="REV-","REV-"&amp;VALUE(MID(K412,5,99)),IF(LEN(K412)=5,LEFT(K412,2)&amp;"."&amp;RIGHT(K412,3),K412)),verfvoorraad!E:E,verfvoorraad!G:G),"Niet gevonden")))</f>
        <v/>
      </c>
      <c r="Q412" t="str">
        <f t="shared" si="12"/>
        <v/>
      </c>
      <c r="R412" t="str">
        <f t="shared" si="13"/>
        <v/>
      </c>
    </row>
    <row r="413" spans="6:18" x14ac:dyDescent="0.25">
      <c r="F413"/>
      <c r="G413" s="20"/>
      <c r="H413" s="21"/>
      <c r="K413" s="23"/>
      <c r="L413" t="str">
        <f>IF(K413="","",IFERROR(_xlfn.XLOOKUP(K413,verfvoorraad!C:C,verfvoorraad!B:B),IFERROR(_xlfn.XLOOKUP(IF(LEFT(UPPER(K413),4)="REV-","REV-"&amp;VALUE(MID(K413,5,99)),IF(LEN(K413)=5,LEFT(K413,2)&amp;"."&amp;RIGHT(K413,3),K413)),verfvoorraad!E:E,verfvoorraad!B:B),"Niet gevonden")))</f>
        <v/>
      </c>
      <c r="M413" t="str">
        <f>IF(K413="","",IFERROR(_xlfn.XLOOKUP(K413,verfvoorraad!C:C,verfvoorraad!D:D),IFERROR(_xlfn.XLOOKUP(IF(LEFT(UPPER(K413),4)="REV-","REV-"&amp;VALUE(MID(K413,5,99)),IF(LEN(K413)=5,LEFT(K413,2)&amp;"."&amp;RIGHT(K413,3),K413)),verfvoorraad!E:E,verfvoorraad!D:D),"Niet gevonden")))</f>
        <v/>
      </c>
      <c r="N413" t="str">
        <f>IF(K413="","",IFERROR(_xlfn.XLOOKUP(K413,verfvoorraad!C:C,verfvoorraad!E:E),IFERROR(_xlfn.XLOOKUP(IF(LEFT(UPPER(K413),4)="REV-","REV-"&amp;VALUE(MID(K413,5,99)),IF(LEN(K413)=5,LEFT(K413,2)&amp;"."&amp;RIGHT(K413,3),K413)),verfvoorraad!E:E,verfvoorraad!E:E),"Niet gevonden")))</f>
        <v/>
      </c>
      <c r="O413" t="str">
        <f>IF(K413="","",IFERROR(_xlfn.XLOOKUP(K413,verfvoorraad!C:C,verfvoorraad!F:F),IFERROR(_xlfn.XLOOKUP(IF(LEFT(UPPER(K413),4)="REV-","REV-"&amp;VALUE(MID(K413,5,99)),IF(LEN(K413)=5,LEFT(K413,2)&amp;"."&amp;RIGHT(K413,3),K413)),verfvoorraad!E:E,verfvoorraad!F:F),"Niet gevonden")))</f>
        <v/>
      </c>
      <c r="P413" t="str">
        <f>IF(K413="","",IFERROR(_xlfn.XLOOKUP(K413,verfvoorraad!C:C,verfvoorraad!G:G),IFERROR(_xlfn.XLOOKUP(IF(LEFT(UPPER(K413),4)="REV-","REV-"&amp;VALUE(MID(K413,5,99)),IF(LEN(K413)=5,LEFT(K413,2)&amp;"."&amp;RIGHT(K413,3),K413)),verfvoorraad!E:E,verfvoorraad!G:G),"Niet gevonden")))</f>
        <v/>
      </c>
      <c r="Q413" t="str">
        <f t="shared" si="12"/>
        <v/>
      </c>
      <c r="R413" t="str">
        <f t="shared" si="13"/>
        <v/>
      </c>
    </row>
    <row r="414" spans="6:18" x14ac:dyDescent="0.25">
      <c r="F414"/>
      <c r="G414" s="20"/>
      <c r="H414" s="21"/>
      <c r="K414" s="23"/>
      <c r="L414" t="str">
        <f>IF(K414="","",IFERROR(_xlfn.XLOOKUP(K414,verfvoorraad!C:C,verfvoorraad!B:B),IFERROR(_xlfn.XLOOKUP(IF(LEFT(UPPER(K414),4)="REV-","REV-"&amp;VALUE(MID(K414,5,99)),IF(LEN(K414)=5,LEFT(K414,2)&amp;"."&amp;RIGHT(K414,3),K414)),verfvoorraad!E:E,verfvoorraad!B:B),"Niet gevonden")))</f>
        <v/>
      </c>
      <c r="M414" t="str">
        <f>IF(K414="","",IFERROR(_xlfn.XLOOKUP(K414,verfvoorraad!C:C,verfvoorraad!D:D),IFERROR(_xlfn.XLOOKUP(IF(LEFT(UPPER(K414),4)="REV-","REV-"&amp;VALUE(MID(K414,5,99)),IF(LEN(K414)=5,LEFT(K414,2)&amp;"."&amp;RIGHT(K414,3),K414)),verfvoorraad!E:E,verfvoorraad!D:D),"Niet gevonden")))</f>
        <v/>
      </c>
      <c r="N414" t="str">
        <f>IF(K414="","",IFERROR(_xlfn.XLOOKUP(K414,verfvoorraad!C:C,verfvoorraad!E:E),IFERROR(_xlfn.XLOOKUP(IF(LEFT(UPPER(K414),4)="REV-","REV-"&amp;VALUE(MID(K414,5,99)),IF(LEN(K414)=5,LEFT(K414,2)&amp;"."&amp;RIGHT(K414,3),K414)),verfvoorraad!E:E,verfvoorraad!E:E),"Niet gevonden")))</f>
        <v/>
      </c>
      <c r="O414" t="str">
        <f>IF(K414="","",IFERROR(_xlfn.XLOOKUP(K414,verfvoorraad!C:C,verfvoorraad!F:F),IFERROR(_xlfn.XLOOKUP(IF(LEFT(UPPER(K414),4)="REV-","REV-"&amp;VALUE(MID(K414,5,99)),IF(LEN(K414)=5,LEFT(K414,2)&amp;"."&amp;RIGHT(K414,3),K414)),verfvoorraad!E:E,verfvoorraad!F:F),"Niet gevonden")))</f>
        <v/>
      </c>
      <c r="P414" t="str">
        <f>IF(K414="","",IFERROR(_xlfn.XLOOKUP(K414,verfvoorraad!C:C,verfvoorraad!G:G),IFERROR(_xlfn.XLOOKUP(IF(LEFT(UPPER(K414),4)="REV-","REV-"&amp;VALUE(MID(K414,5,99)),IF(LEN(K414)=5,LEFT(K414,2)&amp;"."&amp;RIGHT(K414,3),K414)),verfvoorraad!E:E,verfvoorraad!G:G),"Niet gevonden")))</f>
        <v/>
      </c>
      <c r="Q414" t="str">
        <f t="shared" si="12"/>
        <v/>
      </c>
      <c r="R414" t="str">
        <f t="shared" si="13"/>
        <v/>
      </c>
    </row>
    <row r="415" spans="6:18" x14ac:dyDescent="0.25">
      <c r="F415"/>
      <c r="G415" s="20"/>
      <c r="H415" s="21"/>
      <c r="K415" s="23"/>
      <c r="L415" t="str">
        <f>IF(K415="","",IFERROR(_xlfn.XLOOKUP(K415,verfvoorraad!C:C,verfvoorraad!B:B),IFERROR(_xlfn.XLOOKUP(IF(LEFT(UPPER(K415),4)="REV-","REV-"&amp;VALUE(MID(K415,5,99)),IF(LEN(K415)=5,LEFT(K415,2)&amp;"."&amp;RIGHT(K415,3),K415)),verfvoorraad!E:E,verfvoorraad!B:B),"Niet gevonden")))</f>
        <v/>
      </c>
      <c r="M415" t="str">
        <f>IF(K415="","",IFERROR(_xlfn.XLOOKUP(K415,verfvoorraad!C:C,verfvoorraad!D:D),IFERROR(_xlfn.XLOOKUP(IF(LEFT(UPPER(K415),4)="REV-","REV-"&amp;VALUE(MID(K415,5,99)),IF(LEN(K415)=5,LEFT(K415,2)&amp;"."&amp;RIGHT(K415,3),K415)),verfvoorraad!E:E,verfvoorraad!D:D),"Niet gevonden")))</f>
        <v/>
      </c>
      <c r="N415" t="str">
        <f>IF(K415="","",IFERROR(_xlfn.XLOOKUP(K415,verfvoorraad!C:C,verfvoorraad!E:E),IFERROR(_xlfn.XLOOKUP(IF(LEFT(UPPER(K415),4)="REV-","REV-"&amp;VALUE(MID(K415,5,99)),IF(LEN(K415)=5,LEFT(K415,2)&amp;"."&amp;RIGHT(K415,3),K415)),verfvoorraad!E:E,verfvoorraad!E:E),"Niet gevonden")))</f>
        <v/>
      </c>
      <c r="O415" t="str">
        <f>IF(K415="","",IFERROR(_xlfn.XLOOKUP(K415,verfvoorraad!C:C,verfvoorraad!F:F),IFERROR(_xlfn.XLOOKUP(IF(LEFT(UPPER(K415),4)="REV-","REV-"&amp;VALUE(MID(K415,5,99)),IF(LEN(K415)=5,LEFT(K415,2)&amp;"."&amp;RIGHT(K415,3),K415)),verfvoorraad!E:E,verfvoorraad!F:F),"Niet gevonden")))</f>
        <v/>
      </c>
      <c r="P415" t="str">
        <f>IF(K415="","",IFERROR(_xlfn.XLOOKUP(K415,verfvoorraad!C:C,verfvoorraad!G:G),IFERROR(_xlfn.XLOOKUP(IF(LEFT(UPPER(K415),4)="REV-","REV-"&amp;VALUE(MID(K415,5,99)),IF(LEN(K415)=5,LEFT(K415,2)&amp;"."&amp;RIGHT(K415,3),K415)),verfvoorraad!E:E,verfvoorraad!G:G),"Niet gevonden")))</f>
        <v/>
      </c>
      <c r="Q415" t="str">
        <f t="shared" si="12"/>
        <v/>
      </c>
      <c r="R415" t="str">
        <f t="shared" si="13"/>
        <v/>
      </c>
    </row>
    <row r="416" spans="6:18" x14ac:dyDescent="0.25">
      <c r="F416"/>
      <c r="G416" s="20"/>
      <c r="H416" s="21"/>
      <c r="K416" s="23"/>
      <c r="L416" t="str">
        <f>IF(K416="","",IFERROR(_xlfn.XLOOKUP(K416,verfvoorraad!C:C,verfvoorraad!B:B),IFERROR(_xlfn.XLOOKUP(IF(LEFT(UPPER(K416),4)="REV-","REV-"&amp;VALUE(MID(K416,5,99)),IF(LEN(K416)=5,LEFT(K416,2)&amp;"."&amp;RIGHT(K416,3),K416)),verfvoorraad!E:E,verfvoorraad!B:B),"Niet gevonden")))</f>
        <v/>
      </c>
      <c r="M416" t="str">
        <f>IF(K416="","",IFERROR(_xlfn.XLOOKUP(K416,verfvoorraad!C:C,verfvoorraad!D:D),IFERROR(_xlfn.XLOOKUP(IF(LEFT(UPPER(K416),4)="REV-","REV-"&amp;VALUE(MID(K416,5,99)),IF(LEN(K416)=5,LEFT(K416,2)&amp;"."&amp;RIGHT(K416,3),K416)),verfvoorraad!E:E,verfvoorraad!D:D),"Niet gevonden")))</f>
        <v/>
      </c>
      <c r="N416" t="str">
        <f>IF(K416="","",IFERROR(_xlfn.XLOOKUP(K416,verfvoorraad!C:C,verfvoorraad!E:E),IFERROR(_xlfn.XLOOKUP(IF(LEFT(UPPER(K416),4)="REV-","REV-"&amp;VALUE(MID(K416,5,99)),IF(LEN(K416)=5,LEFT(K416,2)&amp;"."&amp;RIGHT(K416,3),K416)),verfvoorraad!E:E,verfvoorraad!E:E),"Niet gevonden")))</f>
        <v/>
      </c>
      <c r="O416" t="str">
        <f>IF(K416="","",IFERROR(_xlfn.XLOOKUP(K416,verfvoorraad!C:C,verfvoorraad!F:F),IFERROR(_xlfn.XLOOKUP(IF(LEFT(UPPER(K416),4)="REV-","REV-"&amp;VALUE(MID(K416,5,99)),IF(LEN(K416)=5,LEFT(K416,2)&amp;"."&amp;RIGHT(K416,3),K416)),verfvoorraad!E:E,verfvoorraad!F:F),"Niet gevonden")))</f>
        <v/>
      </c>
      <c r="P416" t="str">
        <f>IF(K416="","",IFERROR(_xlfn.XLOOKUP(K416,verfvoorraad!C:C,verfvoorraad!G:G),IFERROR(_xlfn.XLOOKUP(IF(LEFT(UPPER(K416),4)="REV-","REV-"&amp;VALUE(MID(K416,5,99)),IF(LEN(K416)=5,LEFT(K416,2)&amp;"."&amp;RIGHT(K416,3),K416)),verfvoorraad!E:E,verfvoorraad!G:G),"Niet gevonden")))</f>
        <v/>
      </c>
      <c r="Q416" t="str">
        <f t="shared" si="12"/>
        <v/>
      </c>
      <c r="R416" t="str">
        <f t="shared" si="13"/>
        <v/>
      </c>
    </row>
    <row r="417" spans="6:18" x14ac:dyDescent="0.25">
      <c r="F417"/>
      <c r="G417" s="20"/>
      <c r="H417" s="21"/>
      <c r="K417" s="23"/>
      <c r="L417" t="str">
        <f>IF(K417="","",IFERROR(_xlfn.XLOOKUP(K417,verfvoorraad!C:C,verfvoorraad!B:B),IFERROR(_xlfn.XLOOKUP(IF(LEFT(UPPER(K417),4)="REV-","REV-"&amp;VALUE(MID(K417,5,99)),IF(LEN(K417)=5,LEFT(K417,2)&amp;"."&amp;RIGHT(K417,3),K417)),verfvoorraad!E:E,verfvoorraad!B:B),"Niet gevonden")))</f>
        <v/>
      </c>
      <c r="M417" t="str">
        <f>IF(K417="","",IFERROR(_xlfn.XLOOKUP(K417,verfvoorraad!C:C,verfvoorraad!D:D),IFERROR(_xlfn.XLOOKUP(IF(LEFT(UPPER(K417),4)="REV-","REV-"&amp;VALUE(MID(K417,5,99)),IF(LEN(K417)=5,LEFT(K417,2)&amp;"."&amp;RIGHT(K417,3),K417)),verfvoorraad!E:E,verfvoorraad!D:D),"Niet gevonden")))</f>
        <v/>
      </c>
      <c r="N417" t="str">
        <f>IF(K417="","",IFERROR(_xlfn.XLOOKUP(K417,verfvoorraad!C:C,verfvoorraad!E:E),IFERROR(_xlfn.XLOOKUP(IF(LEFT(UPPER(K417),4)="REV-","REV-"&amp;VALUE(MID(K417,5,99)),IF(LEN(K417)=5,LEFT(K417,2)&amp;"."&amp;RIGHT(K417,3),K417)),verfvoorraad!E:E,verfvoorraad!E:E),"Niet gevonden")))</f>
        <v/>
      </c>
      <c r="O417" t="str">
        <f>IF(K417="","",IFERROR(_xlfn.XLOOKUP(K417,verfvoorraad!C:C,verfvoorraad!F:F),IFERROR(_xlfn.XLOOKUP(IF(LEFT(UPPER(K417),4)="REV-","REV-"&amp;VALUE(MID(K417,5,99)),IF(LEN(K417)=5,LEFT(K417,2)&amp;"."&amp;RIGHT(K417,3),K417)),verfvoorraad!E:E,verfvoorraad!F:F),"Niet gevonden")))</f>
        <v/>
      </c>
      <c r="P417" t="str">
        <f>IF(K417="","",IFERROR(_xlfn.XLOOKUP(K417,verfvoorraad!C:C,verfvoorraad!G:G),IFERROR(_xlfn.XLOOKUP(IF(LEFT(UPPER(K417),4)="REV-","REV-"&amp;VALUE(MID(K417,5,99)),IF(LEN(K417)=5,LEFT(K417,2)&amp;"."&amp;RIGHT(K417,3),K417)),verfvoorraad!E:E,verfvoorraad!G:G),"Niet gevonden")))</f>
        <v/>
      </c>
      <c r="Q417" t="str">
        <f t="shared" si="12"/>
        <v/>
      </c>
      <c r="R417" t="str">
        <f t="shared" si="13"/>
        <v/>
      </c>
    </row>
    <row r="418" spans="6:18" x14ac:dyDescent="0.25">
      <c r="F418"/>
      <c r="G418" s="20"/>
      <c r="H418" s="21"/>
      <c r="K418" s="23"/>
      <c r="L418" t="str">
        <f>IF(K418="","",IFERROR(_xlfn.XLOOKUP(K418,verfvoorraad!C:C,verfvoorraad!B:B),IFERROR(_xlfn.XLOOKUP(IF(LEFT(UPPER(K418),4)="REV-","REV-"&amp;VALUE(MID(K418,5,99)),IF(LEN(K418)=5,LEFT(K418,2)&amp;"."&amp;RIGHT(K418,3),K418)),verfvoorraad!E:E,verfvoorraad!B:B),"Niet gevonden")))</f>
        <v/>
      </c>
      <c r="M418" t="str">
        <f>IF(K418="","",IFERROR(_xlfn.XLOOKUP(K418,verfvoorraad!C:C,verfvoorraad!D:D),IFERROR(_xlfn.XLOOKUP(IF(LEFT(UPPER(K418),4)="REV-","REV-"&amp;VALUE(MID(K418,5,99)),IF(LEN(K418)=5,LEFT(K418,2)&amp;"."&amp;RIGHT(K418,3),K418)),verfvoorraad!E:E,verfvoorraad!D:D),"Niet gevonden")))</f>
        <v/>
      </c>
      <c r="N418" t="str">
        <f>IF(K418="","",IFERROR(_xlfn.XLOOKUP(K418,verfvoorraad!C:C,verfvoorraad!E:E),IFERROR(_xlfn.XLOOKUP(IF(LEFT(UPPER(K418),4)="REV-","REV-"&amp;VALUE(MID(K418,5,99)),IF(LEN(K418)=5,LEFT(K418,2)&amp;"."&amp;RIGHT(K418,3),K418)),verfvoorraad!E:E,verfvoorraad!E:E),"Niet gevonden")))</f>
        <v/>
      </c>
      <c r="O418" t="str">
        <f>IF(K418="","",IFERROR(_xlfn.XLOOKUP(K418,verfvoorraad!C:C,verfvoorraad!F:F),IFERROR(_xlfn.XLOOKUP(IF(LEFT(UPPER(K418),4)="REV-","REV-"&amp;VALUE(MID(K418,5,99)),IF(LEN(K418)=5,LEFT(K418,2)&amp;"."&amp;RIGHT(K418,3),K418)),verfvoorraad!E:E,verfvoorraad!F:F),"Niet gevonden")))</f>
        <v/>
      </c>
      <c r="P418" t="str">
        <f>IF(K418="","",IFERROR(_xlfn.XLOOKUP(K418,verfvoorraad!C:C,verfvoorraad!G:G),IFERROR(_xlfn.XLOOKUP(IF(LEFT(UPPER(K418),4)="REV-","REV-"&amp;VALUE(MID(K418,5,99)),IF(LEN(K418)=5,LEFT(K418,2)&amp;"."&amp;RIGHT(K418,3),K418)),verfvoorraad!E:E,verfvoorraad!G:G),"Niet gevonden")))</f>
        <v/>
      </c>
      <c r="Q418" t="str">
        <f t="shared" si="12"/>
        <v/>
      </c>
      <c r="R418" t="str">
        <f t="shared" si="13"/>
        <v/>
      </c>
    </row>
    <row r="419" spans="6:18" x14ac:dyDescent="0.25">
      <c r="F419"/>
      <c r="G419" s="20"/>
      <c r="H419" s="21"/>
      <c r="K419" s="23"/>
      <c r="L419" t="str">
        <f>IF(K419="","",IFERROR(_xlfn.XLOOKUP(K419,verfvoorraad!C:C,verfvoorraad!B:B),IFERROR(_xlfn.XLOOKUP(IF(LEFT(UPPER(K419),4)="REV-","REV-"&amp;VALUE(MID(K419,5,99)),IF(LEN(K419)=5,LEFT(K419,2)&amp;"."&amp;RIGHT(K419,3),K419)),verfvoorraad!E:E,verfvoorraad!B:B),"Niet gevonden")))</f>
        <v/>
      </c>
      <c r="M419" t="str">
        <f>IF(K419="","",IFERROR(_xlfn.XLOOKUP(K419,verfvoorraad!C:C,verfvoorraad!D:D),IFERROR(_xlfn.XLOOKUP(IF(LEFT(UPPER(K419),4)="REV-","REV-"&amp;VALUE(MID(K419,5,99)),IF(LEN(K419)=5,LEFT(K419,2)&amp;"."&amp;RIGHT(K419,3),K419)),verfvoorraad!E:E,verfvoorraad!D:D),"Niet gevonden")))</f>
        <v/>
      </c>
      <c r="N419" t="str">
        <f>IF(K419="","",IFERROR(_xlfn.XLOOKUP(K419,verfvoorraad!C:C,verfvoorraad!E:E),IFERROR(_xlfn.XLOOKUP(IF(LEFT(UPPER(K419),4)="REV-","REV-"&amp;VALUE(MID(K419,5,99)),IF(LEN(K419)=5,LEFT(K419,2)&amp;"."&amp;RIGHT(K419,3),K419)),verfvoorraad!E:E,verfvoorraad!E:E),"Niet gevonden")))</f>
        <v/>
      </c>
      <c r="O419" t="str">
        <f>IF(K419="","",IFERROR(_xlfn.XLOOKUP(K419,verfvoorraad!C:C,verfvoorraad!F:F),IFERROR(_xlfn.XLOOKUP(IF(LEFT(UPPER(K419),4)="REV-","REV-"&amp;VALUE(MID(K419,5,99)),IF(LEN(K419)=5,LEFT(K419,2)&amp;"."&amp;RIGHT(K419,3),K419)),verfvoorraad!E:E,verfvoorraad!F:F),"Niet gevonden")))</f>
        <v/>
      </c>
      <c r="P419" t="str">
        <f>IF(K419="","",IFERROR(_xlfn.XLOOKUP(K419,verfvoorraad!C:C,verfvoorraad!G:G),IFERROR(_xlfn.XLOOKUP(IF(LEFT(UPPER(K419),4)="REV-","REV-"&amp;VALUE(MID(K419,5,99)),IF(LEN(K419)=5,LEFT(K419,2)&amp;"."&amp;RIGHT(K419,3),K419)),verfvoorraad!E:E,verfvoorraad!G:G),"Niet gevonden")))</f>
        <v/>
      </c>
      <c r="Q419" t="str">
        <f t="shared" si="12"/>
        <v/>
      </c>
      <c r="R419" t="str">
        <f t="shared" si="13"/>
        <v/>
      </c>
    </row>
    <row r="420" spans="6:18" x14ac:dyDescent="0.25">
      <c r="F420"/>
      <c r="G420" s="20"/>
      <c r="H420" s="21"/>
      <c r="K420" s="23"/>
      <c r="L420" t="str">
        <f>IF(K420="","",IFERROR(_xlfn.XLOOKUP(K420,verfvoorraad!C:C,verfvoorraad!B:B),IFERROR(_xlfn.XLOOKUP(IF(LEFT(UPPER(K420),4)="REV-","REV-"&amp;VALUE(MID(K420,5,99)),IF(LEN(K420)=5,LEFT(K420,2)&amp;"."&amp;RIGHT(K420,3),K420)),verfvoorraad!E:E,verfvoorraad!B:B),"Niet gevonden")))</f>
        <v/>
      </c>
      <c r="M420" t="str">
        <f>IF(K420="","",IFERROR(_xlfn.XLOOKUP(K420,verfvoorraad!C:C,verfvoorraad!D:D),IFERROR(_xlfn.XLOOKUP(IF(LEFT(UPPER(K420),4)="REV-","REV-"&amp;VALUE(MID(K420,5,99)),IF(LEN(K420)=5,LEFT(K420,2)&amp;"."&amp;RIGHT(K420,3),K420)),verfvoorraad!E:E,verfvoorraad!D:D),"Niet gevonden")))</f>
        <v/>
      </c>
      <c r="N420" t="str">
        <f>IF(K420="","",IFERROR(_xlfn.XLOOKUP(K420,verfvoorraad!C:C,verfvoorraad!E:E),IFERROR(_xlfn.XLOOKUP(IF(LEFT(UPPER(K420),4)="REV-","REV-"&amp;VALUE(MID(K420,5,99)),IF(LEN(K420)=5,LEFT(K420,2)&amp;"."&amp;RIGHT(K420,3),K420)),verfvoorraad!E:E,verfvoorraad!E:E),"Niet gevonden")))</f>
        <v/>
      </c>
      <c r="O420" t="str">
        <f>IF(K420="","",IFERROR(_xlfn.XLOOKUP(K420,verfvoorraad!C:C,verfvoorraad!F:F),IFERROR(_xlfn.XLOOKUP(IF(LEFT(UPPER(K420),4)="REV-","REV-"&amp;VALUE(MID(K420,5,99)),IF(LEN(K420)=5,LEFT(K420,2)&amp;"."&amp;RIGHT(K420,3),K420)),verfvoorraad!E:E,verfvoorraad!F:F),"Niet gevonden")))</f>
        <v/>
      </c>
      <c r="P420" t="str">
        <f>IF(K420="","",IFERROR(_xlfn.XLOOKUP(K420,verfvoorraad!C:C,verfvoorraad!G:G),IFERROR(_xlfn.XLOOKUP(IF(LEFT(UPPER(K420),4)="REV-","REV-"&amp;VALUE(MID(K420,5,99)),IF(LEN(K420)=5,LEFT(K420,2)&amp;"."&amp;RIGHT(K420,3),K420)),verfvoorraad!E:E,verfvoorraad!G:G),"Niet gevonden")))</f>
        <v/>
      </c>
      <c r="Q420" t="str">
        <f t="shared" si="12"/>
        <v/>
      </c>
      <c r="R420" t="str">
        <f t="shared" si="13"/>
        <v/>
      </c>
    </row>
    <row r="421" spans="6:18" x14ac:dyDescent="0.25">
      <c r="F421"/>
      <c r="G421" s="20"/>
      <c r="H421" s="21"/>
      <c r="K421" s="23"/>
      <c r="L421" t="str">
        <f>IF(K421="","",IFERROR(_xlfn.XLOOKUP(K421,verfvoorraad!C:C,verfvoorraad!B:B),IFERROR(_xlfn.XLOOKUP(IF(LEFT(UPPER(K421),4)="REV-","REV-"&amp;VALUE(MID(K421,5,99)),IF(LEN(K421)=5,LEFT(K421,2)&amp;"."&amp;RIGHT(K421,3),K421)),verfvoorraad!E:E,verfvoorraad!B:B),"Niet gevonden")))</f>
        <v/>
      </c>
      <c r="M421" t="str">
        <f>IF(K421="","",IFERROR(_xlfn.XLOOKUP(K421,verfvoorraad!C:C,verfvoorraad!D:D),IFERROR(_xlfn.XLOOKUP(IF(LEFT(UPPER(K421),4)="REV-","REV-"&amp;VALUE(MID(K421,5,99)),IF(LEN(K421)=5,LEFT(K421,2)&amp;"."&amp;RIGHT(K421,3),K421)),verfvoorraad!E:E,verfvoorraad!D:D),"Niet gevonden")))</f>
        <v/>
      </c>
      <c r="N421" t="str">
        <f>IF(K421="","",IFERROR(_xlfn.XLOOKUP(K421,verfvoorraad!C:C,verfvoorraad!E:E),IFERROR(_xlfn.XLOOKUP(IF(LEFT(UPPER(K421),4)="REV-","REV-"&amp;VALUE(MID(K421,5,99)),IF(LEN(K421)=5,LEFT(K421,2)&amp;"."&amp;RIGHT(K421,3),K421)),verfvoorraad!E:E,verfvoorraad!E:E),"Niet gevonden")))</f>
        <v/>
      </c>
      <c r="O421" t="str">
        <f>IF(K421="","",IFERROR(_xlfn.XLOOKUP(K421,verfvoorraad!C:C,verfvoorraad!F:F),IFERROR(_xlfn.XLOOKUP(IF(LEFT(UPPER(K421),4)="REV-","REV-"&amp;VALUE(MID(K421,5,99)),IF(LEN(K421)=5,LEFT(K421,2)&amp;"."&amp;RIGHT(K421,3),K421)),verfvoorraad!E:E,verfvoorraad!F:F),"Niet gevonden")))</f>
        <v/>
      </c>
      <c r="P421" t="str">
        <f>IF(K421="","",IFERROR(_xlfn.XLOOKUP(K421,verfvoorraad!C:C,verfvoorraad!G:G),IFERROR(_xlfn.XLOOKUP(IF(LEFT(UPPER(K421),4)="REV-","REV-"&amp;VALUE(MID(K421,5,99)),IF(LEN(K421)=5,LEFT(K421,2)&amp;"."&amp;RIGHT(K421,3),K421)),verfvoorraad!E:E,verfvoorraad!G:G),"Niet gevonden")))</f>
        <v/>
      </c>
      <c r="Q421" t="str">
        <f t="shared" si="12"/>
        <v/>
      </c>
      <c r="R421" t="str">
        <f t="shared" si="13"/>
        <v/>
      </c>
    </row>
    <row r="422" spans="6:18" x14ac:dyDescent="0.25">
      <c r="F422"/>
      <c r="G422" s="20"/>
      <c r="H422" s="21"/>
      <c r="K422" s="23"/>
      <c r="L422" t="str">
        <f>IF(K422="","",IFERROR(_xlfn.XLOOKUP(K422,verfvoorraad!C:C,verfvoorraad!B:B),IFERROR(_xlfn.XLOOKUP(IF(LEFT(UPPER(K422),4)="REV-","REV-"&amp;VALUE(MID(K422,5,99)),IF(LEN(K422)=5,LEFT(K422,2)&amp;"."&amp;RIGHT(K422,3),K422)),verfvoorraad!E:E,verfvoorraad!B:B),"Niet gevonden")))</f>
        <v/>
      </c>
      <c r="M422" t="str">
        <f>IF(K422="","",IFERROR(_xlfn.XLOOKUP(K422,verfvoorraad!C:C,verfvoorraad!D:D),IFERROR(_xlfn.XLOOKUP(IF(LEFT(UPPER(K422),4)="REV-","REV-"&amp;VALUE(MID(K422,5,99)),IF(LEN(K422)=5,LEFT(K422,2)&amp;"."&amp;RIGHT(K422,3),K422)),verfvoorraad!E:E,verfvoorraad!D:D),"Niet gevonden")))</f>
        <v/>
      </c>
      <c r="N422" t="str">
        <f>IF(K422="","",IFERROR(_xlfn.XLOOKUP(K422,verfvoorraad!C:C,verfvoorraad!E:E),IFERROR(_xlfn.XLOOKUP(IF(LEFT(UPPER(K422),4)="REV-","REV-"&amp;VALUE(MID(K422,5,99)),IF(LEN(K422)=5,LEFT(K422,2)&amp;"."&amp;RIGHT(K422,3),K422)),verfvoorraad!E:E,verfvoorraad!E:E),"Niet gevonden")))</f>
        <v/>
      </c>
      <c r="O422" t="str">
        <f>IF(K422="","",IFERROR(_xlfn.XLOOKUP(K422,verfvoorraad!C:C,verfvoorraad!F:F),IFERROR(_xlfn.XLOOKUP(IF(LEFT(UPPER(K422),4)="REV-","REV-"&amp;VALUE(MID(K422,5,99)),IF(LEN(K422)=5,LEFT(K422,2)&amp;"."&amp;RIGHT(K422,3),K422)),verfvoorraad!E:E,verfvoorraad!F:F),"Niet gevonden")))</f>
        <v/>
      </c>
      <c r="P422" t="str">
        <f>IF(K422="","",IFERROR(_xlfn.XLOOKUP(K422,verfvoorraad!C:C,verfvoorraad!G:G),IFERROR(_xlfn.XLOOKUP(IF(LEFT(UPPER(K422),4)="REV-","REV-"&amp;VALUE(MID(K422,5,99)),IF(LEN(K422)=5,LEFT(K422,2)&amp;"."&amp;RIGHT(K422,3),K422)),verfvoorraad!E:E,verfvoorraad!G:G),"Niet gevonden")))</f>
        <v/>
      </c>
      <c r="Q422" t="str">
        <f t="shared" si="12"/>
        <v/>
      </c>
      <c r="R422" t="str">
        <f t="shared" si="13"/>
        <v/>
      </c>
    </row>
    <row r="423" spans="6:18" x14ac:dyDescent="0.25">
      <c r="F423"/>
      <c r="G423" s="20"/>
      <c r="H423" s="21"/>
      <c r="K423" s="23"/>
      <c r="L423" t="str">
        <f>IF(K423="","",IFERROR(_xlfn.XLOOKUP(K423,verfvoorraad!C:C,verfvoorraad!B:B),IFERROR(_xlfn.XLOOKUP(IF(LEFT(UPPER(K423),4)="REV-","REV-"&amp;VALUE(MID(K423,5,99)),IF(LEN(K423)=5,LEFT(K423,2)&amp;"."&amp;RIGHT(K423,3),K423)),verfvoorraad!E:E,verfvoorraad!B:B),"Niet gevonden")))</f>
        <v/>
      </c>
      <c r="M423" t="str">
        <f>IF(K423="","",IFERROR(_xlfn.XLOOKUP(K423,verfvoorraad!C:C,verfvoorraad!D:D),IFERROR(_xlfn.XLOOKUP(IF(LEFT(UPPER(K423),4)="REV-","REV-"&amp;VALUE(MID(K423,5,99)),IF(LEN(K423)=5,LEFT(K423,2)&amp;"."&amp;RIGHT(K423,3),K423)),verfvoorraad!E:E,verfvoorraad!D:D),"Niet gevonden")))</f>
        <v/>
      </c>
      <c r="N423" t="str">
        <f>IF(K423="","",IFERROR(_xlfn.XLOOKUP(K423,verfvoorraad!C:C,verfvoorraad!E:E),IFERROR(_xlfn.XLOOKUP(IF(LEFT(UPPER(K423),4)="REV-","REV-"&amp;VALUE(MID(K423,5,99)),IF(LEN(K423)=5,LEFT(K423,2)&amp;"."&amp;RIGHT(K423,3),K423)),verfvoorraad!E:E,verfvoorraad!E:E),"Niet gevonden")))</f>
        <v/>
      </c>
      <c r="O423" t="str">
        <f>IF(K423="","",IFERROR(_xlfn.XLOOKUP(K423,verfvoorraad!C:C,verfvoorraad!F:F),IFERROR(_xlfn.XLOOKUP(IF(LEFT(UPPER(K423),4)="REV-","REV-"&amp;VALUE(MID(K423,5,99)),IF(LEN(K423)=5,LEFT(K423,2)&amp;"."&amp;RIGHT(K423,3),K423)),verfvoorraad!E:E,verfvoorraad!F:F),"Niet gevonden")))</f>
        <v/>
      </c>
      <c r="P423" t="str">
        <f>IF(K423="","",IFERROR(_xlfn.XLOOKUP(K423,verfvoorraad!C:C,verfvoorraad!G:G),IFERROR(_xlfn.XLOOKUP(IF(LEFT(UPPER(K423),4)="REV-","REV-"&amp;VALUE(MID(K423,5,99)),IF(LEN(K423)=5,LEFT(K423,2)&amp;"."&amp;RIGHT(K423,3),K423)),verfvoorraad!E:E,verfvoorraad!G:G),"Niet gevonden")))</f>
        <v/>
      </c>
      <c r="Q423" t="str">
        <f t="shared" si="12"/>
        <v/>
      </c>
      <c r="R423" t="str">
        <f t="shared" si="13"/>
        <v/>
      </c>
    </row>
    <row r="424" spans="6:18" x14ac:dyDescent="0.25">
      <c r="F424"/>
      <c r="G424" s="20"/>
      <c r="H424" s="21"/>
      <c r="K424" s="23"/>
      <c r="L424" t="str">
        <f>IF(K424="","",IFERROR(_xlfn.XLOOKUP(K424,verfvoorraad!C:C,verfvoorraad!B:B),IFERROR(_xlfn.XLOOKUP(IF(LEFT(UPPER(K424),4)="REV-","REV-"&amp;VALUE(MID(K424,5,99)),IF(LEN(K424)=5,LEFT(K424,2)&amp;"."&amp;RIGHT(K424,3),K424)),verfvoorraad!E:E,verfvoorraad!B:B),"Niet gevonden")))</f>
        <v/>
      </c>
      <c r="M424" t="str">
        <f>IF(K424="","",IFERROR(_xlfn.XLOOKUP(K424,verfvoorraad!C:C,verfvoorraad!D:D),IFERROR(_xlfn.XLOOKUP(IF(LEFT(UPPER(K424),4)="REV-","REV-"&amp;VALUE(MID(K424,5,99)),IF(LEN(K424)=5,LEFT(K424,2)&amp;"."&amp;RIGHT(K424,3),K424)),verfvoorraad!E:E,verfvoorraad!D:D),"Niet gevonden")))</f>
        <v/>
      </c>
      <c r="N424" t="str">
        <f>IF(K424="","",IFERROR(_xlfn.XLOOKUP(K424,verfvoorraad!C:C,verfvoorraad!E:E),IFERROR(_xlfn.XLOOKUP(IF(LEFT(UPPER(K424),4)="REV-","REV-"&amp;VALUE(MID(K424,5,99)),IF(LEN(K424)=5,LEFT(K424,2)&amp;"."&amp;RIGHT(K424,3),K424)),verfvoorraad!E:E,verfvoorraad!E:E),"Niet gevonden")))</f>
        <v/>
      </c>
      <c r="O424" t="str">
        <f>IF(K424="","",IFERROR(_xlfn.XLOOKUP(K424,verfvoorraad!C:C,verfvoorraad!F:F),IFERROR(_xlfn.XLOOKUP(IF(LEFT(UPPER(K424),4)="REV-","REV-"&amp;VALUE(MID(K424,5,99)),IF(LEN(K424)=5,LEFT(K424,2)&amp;"."&amp;RIGHT(K424,3),K424)),verfvoorraad!E:E,verfvoorraad!F:F),"Niet gevonden")))</f>
        <v/>
      </c>
      <c r="P424" t="str">
        <f>IF(K424="","",IFERROR(_xlfn.XLOOKUP(K424,verfvoorraad!C:C,verfvoorraad!G:G),IFERROR(_xlfn.XLOOKUP(IF(LEFT(UPPER(K424),4)="REV-","REV-"&amp;VALUE(MID(K424,5,99)),IF(LEN(K424)=5,LEFT(K424,2)&amp;"."&amp;RIGHT(K424,3),K424)),verfvoorraad!E:E,verfvoorraad!G:G),"Niet gevonden")))</f>
        <v/>
      </c>
      <c r="Q424" t="str">
        <f t="shared" si="12"/>
        <v/>
      </c>
      <c r="R424" t="str">
        <f t="shared" si="13"/>
        <v/>
      </c>
    </row>
    <row r="425" spans="6:18" x14ac:dyDescent="0.25">
      <c r="F425"/>
      <c r="G425" s="20"/>
      <c r="H425" s="21"/>
      <c r="K425" s="23"/>
      <c r="L425" t="str">
        <f>IF(K425="","",IFERROR(_xlfn.XLOOKUP(K425,verfvoorraad!C:C,verfvoorraad!B:B),IFERROR(_xlfn.XLOOKUP(IF(LEFT(UPPER(K425),4)="REV-","REV-"&amp;VALUE(MID(K425,5,99)),IF(LEN(K425)=5,LEFT(K425,2)&amp;"."&amp;RIGHT(K425,3),K425)),verfvoorraad!E:E,verfvoorraad!B:B),"Niet gevonden")))</f>
        <v/>
      </c>
      <c r="M425" t="str">
        <f>IF(K425="","",IFERROR(_xlfn.XLOOKUP(K425,verfvoorraad!C:C,verfvoorraad!D:D),IFERROR(_xlfn.XLOOKUP(IF(LEFT(UPPER(K425),4)="REV-","REV-"&amp;VALUE(MID(K425,5,99)),IF(LEN(K425)=5,LEFT(K425,2)&amp;"."&amp;RIGHT(K425,3),K425)),verfvoorraad!E:E,verfvoorraad!D:D),"Niet gevonden")))</f>
        <v/>
      </c>
      <c r="N425" t="str">
        <f>IF(K425="","",IFERROR(_xlfn.XLOOKUP(K425,verfvoorraad!C:C,verfvoorraad!E:E),IFERROR(_xlfn.XLOOKUP(IF(LEFT(UPPER(K425),4)="REV-","REV-"&amp;VALUE(MID(K425,5,99)),IF(LEN(K425)=5,LEFT(K425,2)&amp;"."&amp;RIGHT(K425,3),K425)),verfvoorraad!E:E,verfvoorraad!E:E),"Niet gevonden")))</f>
        <v/>
      </c>
      <c r="O425" t="str">
        <f>IF(K425="","",IFERROR(_xlfn.XLOOKUP(K425,verfvoorraad!C:C,verfvoorraad!F:F),IFERROR(_xlfn.XLOOKUP(IF(LEFT(UPPER(K425),4)="REV-","REV-"&amp;VALUE(MID(K425,5,99)),IF(LEN(K425)=5,LEFT(K425,2)&amp;"."&amp;RIGHT(K425,3),K425)),verfvoorraad!E:E,verfvoorraad!F:F),"Niet gevonden")))</f>
        <v/>
      </c>
      <c r="P425" t="str">
        <f>IF(K425="","",IFERROR(_xlfn.XLOOKUP(K425,verfvoorraad!C:C,verfvoorraad!G:G),IFERROR(_xlfn.XLOOKUP(IF(LEFT(UPPER(K425),4)="REV-","REV-"&amp;VALUE(MID(K425,5,99)),IF(LEN(K425)=5,LEFT(K425,2)&amp;"."&amp;RIGHT(K425,3),K425)),verfvoorraad!E:E,verfvoorraad!G:G),"Niet gevonden")))</f>
        <v/>
      </c>
      <c r="Q425" t="str">
        <f t="shared" si="12"/>
        <v/>
      </c>
      <c r="R425" t="str">
        <f t="shared" si="13"/>
        <v/>
      </c>
    </row>
    <row r="426" spans="6:18" x14ac:dyDescent="0.25">
      <c r="F426"/>
      <c r="G426" s="20"/>
      <c r="H426" s="21"/>
      <c r="K426" s="23"/>
      <c r="L426" t="str">
        <f>IF(K426="","",IFERROR(_xlfn.XLOOKUP(K426,verfvoorraad!C:C,verfvoorraad!B:B),IFERROR(_xlfn.XLOOKUP(IF(LEFT(UPPER(K426),4)="REV-","REV-"&amp;VALUE(MID(K426,5,99)),IF(LEN(K426)=5,LEFT(K426,2)&amp;"."&amp;RIGHT(K426,3),K426)),verfvoorraad!E:E,verfvoorraad!B:B),"Niet gevonden")))</f>
        <v/>
      </c>
      <c r="M426" t="str">
        <f>IF(K426="","",IFERROR(_xlfn.XLOOKUP(K426,verfvoorraad!C:C,verfvoorraad!D:D),IFERROR(_xlfn.XLOOKUP(IF(LEFT(UPPER(K426),4)="REV-","REV-"&amp;VALUE(MID(K426,5,99)),IF(LEN(K426)=5,LEFT(K426,2)&amp;"."&amp;RIGHT(K426,3),K426)),verfvoorraad!E:E,verfvoorraad!D:D),"Niet gevonden")))</f>
        <v/>
      </c>
      <c r="N426" t="str">
        <f>IF(K426="","",IFERROR(_xlfn.XLOOKUP(K426,verfvoorraad!C:C,verfvoorraad!E:E),IFERROR(_xlfn.XLOOKUP(IF(LEFT(UPPER(K426),4)="REV-","REV-"&amp;VALUE(MID(K426,5,99)),IF(LEN(K426)=5,LEFT(K426,2)&amp;"."&amp;RIGHT(K426,3),K426)),verfvoorraad!E:E,verfvoorraad!E:E),"Niet gevonden")))</f>
        <v/>
      </c>
      <c r="O426" t="str">
        <f>IF(K426="","",IFERROR(_xlfn.XLOOKUP(K426,verfvoorraad!C:C,verfvoorraad!F:F),IFERROR(_xlfn.XLOOKUP(IF(LEFT(UPPER(K426),4)="REV-","REV-"&amp;VALUE(MID(K426,5,99)),IF(LEN(K426)=5,LEFT(K426,2)&amp;"."&amp;RIGHT(K426,3),K426)),verfvoorraad!E:E,verfvoorraad!F:F),"Niet gevonden")))</f>
        <v/>
      </c>
      <c r="P426" t="str">
        <f>IF(K426="","",IFERROR(_xlfn.XLOOKUP(K426,verfvoorraad!C:C,verfvoorraad!G:G),IFERROR(_xlfn.XLOOKUP(IF(LEFT(UPPER(K426),4)="REV-","REV-"&amp;VALUE(MID(K426,5,99)),IF(LEN(K426)=5,LEFT(K426,2)&amp;"."&amp;RIGHT(K426,3),K426)),verfvoorraad!E:E,verfvoorraad!G:G),"Niet gevonden")))</f>
        <v/>
      </c>
      <c r="Q426" t="str">
        <f t="shared" si="12"/>
        <v/>
      </c>
      <c r="R426" t="str">
        <f t="shared" si="13"/>
        <v/>
      </c>
    </row>
    <row r="427" spans="6:18" x14ac:dyDescent="0.25">
      <c r="F427"/>
      <c r="G427" s="20"/>
      <c r="H427" s="21"/>
      <c r="K427" s="23"/>
      <c r="L427" t="str">
        <f>IF(K427="","",IFERROR(_xlfn.XLOOKUP(K427,verfvoorraad!C:C,verfvoorraad!B:B),IFERROR(_xlfn.XLOOKUP(IF(LEFT(UPPER(K427),4)="REV-","REV-"&amp;VALUE(MID(K427,5,99)),IF(LEN(K427)=5,LEFT(K427,2)&amp;"."&amp;RIGHT(K427,3),K427)),verfvoorraad!E:E,verfvoorraad!B:B),"Niet gevonden")))</f>
        <v/>
      </c>
      <c r="M427" t="str">
        <f>IF(K427="","",IFERROR(_xlfn.XLOOKUP(K427,verfvoorraad!C:C,verfvoorraad!D:D),IFERROR(_xlfn.XLOOKUP(IF(LEFT(UPPER(K427),4)="REV-","REV-"&amp;VALUE(MID(K427,5,99)),IF(LEN(K427)=5,LEFT(K427,2)&amp;"."&amp;RIGHT(K427,3),K427)),verfvoorraad!E:E,verfvoorraad!D:D),"Niet gevonden")))</f>
        <v/>
      </c>
      <c r="N427" t="str">
        <f>IF(K427="","",IFERROR(_xlfn.XLOOKUP(K427,verfvoorraad!C:C,verfvoorraad!E:E),IFERROR(_xlfn.XLOOKUP(IF(LEFT(UPPER(K427),4)="REV-","REV-"&amp;VALUE(MID(K427,5,99)),IF(LEN(K427)=5,LEFT(K427,2)&amp;"."&amp;RIGHT(K427,3),K427)),verfvoorraad!E:E,verfvoorraad!E:E),"Niet gevonden")))</f>
        <v/>
      </c>
      <c r="O427" t="str">
        <f>IF(K427="","",IFERROR(_xlfn.XLOOKUP(K427,verfvoorraad!C:C,verfvoorraad!F:F),IFERROR(_xlfn.XLOOKUP(IF(LEFT(UPPER(K427),4)="REV-","REV-"&amp;VALUE(MID(K427,5,99)),IF(LEN(K427)=5,LEFT(K427,2)&amp;"."&amp;RIGHT(K427,3),K427)),verfvoorraad!E:E,verfvoorraad!F:F),"Niet gevonden")))</f>
        <v/>
      </c>
      <c r="P427" t="str">
        <f>IF(K427="","",IFERROR(_xlfn.XLOOKUP(K427,verfvoorraad!C:C,verfvoorraad!G:G),IFERROR(_xlfn.XLOOKUP(IF(LEFT(UPPER(K427),4)="REV-","REV-"&amp;VALUE(MID(K427,5,99)),IF(LEN(K427)=5,LEFT(K427,2)&amp;"."&amp;RIGHT(K427,3),K427)),verfvoorraad!E:E,verfvoorraad!G:G),"Niet gevonden")))</f>
        <v/>
      </c>
      <c r="Q427" t="str">
        <f t="shared" si="12"/>
        <v/>
      </c>
      <c r="R427" t="str">
        <f t="shared" si="13"/>
        <v/>
      </c>
    </row>
    <row r="428" spans="6:18" x14ac:dyDescent="0.25">
      <c r="F428"/>
      <c r="G428" s="20"/>
      <c r="H428" s="21"/>
      <c r="K428" s="23"/>
      <c r="L428" t="str">
        <f>IF(K428="","",IFERROR(_xlfn.XLOOKUP(K428,verfvoorraad!C:C,verfvoorraad!B:B),IFERROR(_xlfn.XLOOKUP(IF(LEFT(UPPER(K428),4)="REV-","REV-"&amp;VALUE(MID(K428,5,99)),IF(LEN(K428)=5,LEFT(K428,2)&amp;"."&amp;RIGHT(K428,3),K428)),verfvoorraad!E:E,verfvoorraad!B:B),"Niet gevonden")))</f>
        <v/>
      </c>
      <c r="M428" t="str">
        <f>IF(K428="","",IFERROR(_xlfn.XLOOKUP(K428,verfvoorraad!C:C,verfvoorraad!D:D),IFERROR(_xlfn.XLOOKUP(IF(LEFT(UPPER(K428),4)="REV-","REV-"&amp;VALUE(MID(K428,5,99)),IF(LEN(K428)=5,LEFT(K428,2)&amp;"."&amp;RIGHT(K428,3),K428)),verfvoorraad!E:E,verfvoorraad!D:D),"Niet gevonden")))</f>
        <v/>
      </c>
      <c r="N428" t="str">
        <f>IF(K428="","",IFERROR(_xlfn.XLOOKUP(K428,verfvoorraad!C:C,verfvoorraad!E:E),IFERROR(_xlfn.XLOOKUP(IF(LEFT(UPPER(K428),4)="REV-","REV-"&amp;VALUE(MID(K428,5,99)),IF(LEN(K428)=5,LEFT(K428,2)&amp;"."&amp;RIGHT(K428,3),K428)),verfvoorraad!E:E,verfvoorraad!E:E),"Niet gevonden")))</f>
        <v/>
      </c>
      <c r="O428" t="str">
        <f>IF(K428="","",IFERROR(_xlfn.XLOOKUP(K428,verfvoorraad!C:C,verfvoorraad!F:F),IFERROR(_xlfn.XLOOKUP(IF(LEFT(UPPER(K428),4)="REV-","REV-"&amp;VALUE(MID(K428,5,99)),IF(LEN(K428)=5,LEFT(K428,2)&amp;"."&amp;RIGHT(K428,3),K428)),verfvoorraad!E:E,verfvoorraad!F:F),"Niet gevonden")))</f>
        <v/>
      </c>
      <c r="P428" t="str">
        <f>IF(K428="","",IFERROR(_xlfn.XLOOKUP(K428,verfvoorraad!C:C,verfvoorraad!G:G),IFERROR(_xlfn.XLOOKUP(IF(LEFT(UPPER(K428),4)="REV-","REV-"&amp;VALUE(MID(K428,5,99)),IF(LEN(K428)=5,LEFT(K428,2)&amp;"."&amp;RIGHT(K428,3),K428)),verfvoorraad!E:E,verfvoorraad!G:G),"Niet gevonden")))</f>
        <v/>
      </c>
      <c r="Q428" t="str">
        <f t="shared" si="12"/>
        <v/>
      </c>
      <c r="R428" t="str">
        <f t="shared" si="13"/>
        <v/>
      </c>
    </row>
    <row r="429" spans="6:18" x14ac:dyDescent="0.25">
      <c r="F429"/>
      <c r="G429" s="20"/>
      <c r="H429" s="21"/>
      <c r="K429" s="23"/>
      <c r="L429" t="str">
        <f>IF(K429="","",IFERROR(_xlfn.XLOOKUP(K429,verfvoorraad!C:C,verfvoorraad!B:B),IFERROR(_xlfn.XLOOKUP(IF(LEFT(UPPER(K429),4)="REV-","REV-"&amp;VALUE(MID(K429,5,99)),IF(LEN(K429)=5,LEFT(K429,2)&amp;"."&amp;RIGHT(K429,3),K429)),verfvoorraad!E:E,verfvoorraad!B:B),"Niet gevonden")))</f>
        <v/>
      </c>
      <c r="M429" t="str">
        <f>IF(K429="","",IFERROR(_xlfn.XLOOKUP(K429,verfvoorraad!C:C,verfvoorraad!D:D),IFERROR(_xlfn.XLOOKUP(IF(LEFT(UPPER(K429),4)="REV-","REV-"&amp;VALUE(MID(K429,5,99)),IF(LEN(K429)=5,LEFT(K429,2)&amp;"."&amp;RIGHT(K429,3),K429)),verfvoorraad!E:E,verfvoorraad!D:D),"Niet gevonden")))</f>
        <v/>
      </c>
      <c r="N429" t="str">
        <f>IF(K429="","",IFERROR(_xlfn.XLOOKUP(K429,verfvoorraad!C:C,verfvoorraad!E:E),IFERROR(_xlfn.XLOOKUP(IF(LEFT(UPPER(K429),4)="REV-","REV-"&amp;VALUE(MID(K429,5,99)),IF(LEN(K429)=5,LEFT(K429,2)&amp;"."&amp;RIGHT(K429,3),K429)),verfvoorraad!E:E,verfvoorraad!E:E),"Niet gevonden")))</f>
        <v/>
      </c>
      <c r="O429" t="str">
        <f>IF(K429="","",IFERROR(_xlfn.XLOOKUP(K429,verfvoorraad!C:C,verfvoorraad!F:F),IFERROR(_xlfn.XLOOKUP(IF(LEFT(UPPER(K429),4)="REV-","REV-"&amp;VALUE(MID(K429,5,99)),IF(LEN(K429)=5,LEFT(K429,2)&amp;"."&amp;RIGHT(K429,3),K429)),verfvoorraad!E:E,verfvoorraad!F:F),"Niet gevonden")))</f>
        <v/>
      </c>
      <c r="P429" t="str">
        <f>IF(K429="","",IFERROR(_xlfn.XLOOKUP(K429,verfvoorraad!C:C,verfvoorraad!G:G),IFERROR(_xlfn.XLOOKUP(IF(LEFT(UPPER(K429),4)="REV-","REV-"&amp;VALUE(MID(K429,5,99)),IF(LEN(K429)=5,LEFT(K429,2)&amp;"."&amp;RIGHT(K429,3),K429)),verfvoorraad!E:E,verfvoorraad!G:G),"Niet gevonden")))</f>
        <v/>
      </c>
      <c r="Q429" t="str">
        <f t="shared" si="12"/>
        <v/>
      </c>
      <c r="R429" t="str">
        <f t="shared" si="13"/>
        <v/>
      </c>
    </row>
    <row r="430" spans="6:18" x14ac:dyDescent="0.25">
      <c r="F430"/>
      <c r="G430" s="20"/>
      <c r="H430" s="21"/>
      <c r="K430" s="23"/>
      <c r="L430" t="str">
        <f>IF(K430="","",IFERROR(_xlfn.XLOOKUP(K430,verfvoorraad!C:C,verfvoorraad!B:B),IFERROR(_xlfn.XLOOKUP(IF(LEFT(UPPER(K430),4)="REV-","REV-"&amp;VALUE(MID(K430,5,99)),IF(LEN(K430)=5,LEFT(K430,2)&amp;"."&amp;RIGHT(K430,3),K430)),verfvoorraad!E:E,verfvoorraad!B:B),"Niet gevonden")))</f>
        <v/>
      </c>
      <c r="M430" t="str">
        <f>IF(K430="","",IFERROR(_xlfn.XLOOKUP(K430,verfvoorraad!C:C,verfvoorraad!D:D),IFERROR(_xlfn.XLOOKUP(IF(LEFT(UPPER(K430),4)="REV-","REV-"&amp;VALUE(MID(K430,5,99)),IF(LEN(K430)=5,LEFT(K430,2)&amp;"."&amp;RIGHT(K430,3),K430)),verfvoorraad!E:E,verfvoorraad!D:D),"Niet gevonden")))</f>
        <v/>
      </c>
      <c r="N430" t="str">
        <f>IF(K430="","",IFERROR(_xlfn.XLOOKUP(K430,verfvoorraad!C:C,verfvoorraad!E:E),IFERROR(_xlfn.XLOOKUP(IF(LEFT(UPPER(K430),4)="REV-","REV-"&amp;VALUE(MID(K430,5,99)),IF(LEN(K430)=5,LEFT(K430,2)&amp;"."&amp;RIGHT(K430,3),K430)),verfvoorraad!E:E,verfvoorraad!E:E),"Niet gevonden")))</f>
        <v/>
      </c>
      <c r="O430" t="str">
        <f>IF(K430="","",IFERROR(_xlfn.XLOOKUP(K430,verfvoorraad!C:C,verfvoorraad!F:F),IFERROR(_xlfn.XLOOKUP(IF(LEFT(UPPER(K430),4)="REV-","REV-"&amp;VALUE(MID(K430,5,99)),IF(LEN(K430)=5,LEFT(K430,2)&amp;"."&amp;RIGHT(K430,3),K430)),verfvoorraad!E:E,verfvoorraad!F:F),"Niet gevonden")))</f>
        <v/>
      </c>
      <c r="P430" t="str">
        <f>IF(K430="","",IFERROR(_xlfn.XLOOKUP(K430,verfvoorraad!C:C,verfvoorraad!G:G),IFERROR(_xlfn.XLOOKUP(IF(LEFT(UPPER(K430),4)="REV-","REV-"&amp;VALUE(MID(K430,5,99)),IF(LEN(K430)=5,LEFT(K430,2)&amp;"."&amp;RIGHT(K430,3),K430)),verfvoorraad!E:E,verfvoorraad!G:G),"Niet gevonden")))</f>
        <v/>
      </c>
      <c r="Q430" t="str">
        <f t="shared" si="12"/>
        <v/>
      </c>
      <c r="R430" t="str">
        <f t="shared" si="13"/>
        <v/>
      </c>
    </row>
    <row r="431" spans="6:18" x14ac:dyDescent="0.25">
      <c r="F431"/>
      <c r="G431" s="20"/>
      <c r="H431" s="21"/>
      <c r="K431" s="23"/>
      <c r="L431" t="str">
        <f>IF(K431="","",IFERROR(_xlfn.XLOOKUP(K431,verfvoorraad!C:C,verfvoorraad!B:B),IFERROR(_xlfn.XLOOKUP(IF(LEFT(UPPER(K431),4)="REV-","REV-"&amp;VALUE(MID(K431,5,99)),IF(LEN(K431)=5,LEFT(K431,2)&amp;"."&amp;RIGHT(K431,3),K431)),verfvoorraad!E:E,verfvoorraad!B:B),"Niet gevonden")))</f>
        <v/>
      </c>
      <c r="M431" t="str">
        <f>IF(K431="","",IFERROR(_xlfn.XLOOKUP(K431,verfvoorraad!C:C,verfvoorraad!D:D),IFERROR(_xlfn.XLOOKUP(IF(LEFT(UPPER(K431),4)="REV-","REV-"&amp;VALUE(MID(K431,5,99)),IF(LEN(K431)=5,LEFT(K431,2)&amp;"."&amp;RIGHT(K431,3),K431)),verfvoorraad!E:E,verfvoorraad!D:D),"Niet gevonden")))</f>
        <v/>
      </c>
      <c r="N431" t="str">
        <f>IF(K431="","",IFERROR(_xlfn.XLOOKUP(K431,verfvoorraad!C:C,verfvoorraad!E:E),IFERROR(_xlfn.XLOOKUP(IF(LEFT(UPPER(K431),4)="REV-","REV-"&amp;VALUE(MID(K431,5,99)),IF(LEN(K431)=5,LEFT(K431,2)&amp;"."&amp;RIGHT(K431,3),K431)),verfvoorraad!E:E,verfvoorraad!E:E),"Niet gevonden")))</f>
        <v/>
      </c>
      <c r="O431" t="str">
        <f>IF(K431="","",IFERROR(_xlfn.XLOOKUP(K431,verfvoorraad!C:C,verfvoorraad!F:F),IFERROR(_xlfn.XLOOKUP(IF(LEFT(UPPER(K431),4)="REV-","REV-"&amp;VALUE(MID(K431,5,99)),IF(LEN(K431)=5,LEFT(K431,2)&amp;"."&amp;RIGHT(K431,3),K431)),verfvoorraad!E:E,verfvoorraad!F:F),"Niet gevonden")))</f>
        <v/>
      </c>
      <c r="P431" t="str">
        <f>IF(K431="","",IFERROR(_xlfn.XLOOKUP(K431,verfvoorraad!C:C,verfvoorraad!G:G),IFERROR(_xlfn.XLOOKUP(IF(LEFT(UPPER(K431),4)="REV-","REV-"&amp;VALUE(MID(K431,5,99)),IF(LEN(K431)=5,LEFT(K431,2)&amp;"."&amp;RIGHT(K431,3),K431)),verfvoorraad!E:E,verfvoorraad!G:G),"Niet gevonden")))</f>
        <v/>
      </c>
      <c r="Q431" t="str">
        <f t="shared" si="12"/>
        <v/>
      </c>
      <c r="R431" t="str">
        <f t="shared" si="13"/>
        <v/>
      </c>
    </row>
    <row r="432" spans="6:18" x14ac:dyDescent="0.25">
      <c r="F432"/>
      <c r="G432" s="20"/>
      <c r="H432" s="21"/>
      <c r="K432" s="23"/>
      <c r="L432" t="str">
        <f>IF(K432="","",IFERROR(_xlfn.XLOOKUP(K432,verfvoorraad!C:C,verfvoorraad!B:B),IFERROR(_xlfn.XLOOKUP(IF(LEFT(UPPER(K432),4)="REV-","REV-"&amp;VALUE(MID(K432,5,99)),IF(LEN(K432)=5,LEFT(K432,2)&amp;"."&amp;RIGHT(K432,3),K432)),verfvoorraad!E:E,verfvoorraad!B:B),"Niet gevonden")))</f>
        <v/>
      </c>
      <c r="M432" t="str">
        <f>IF(K432="","",IFERROR(_xlfn.XLOOKUP(K432,verfvoorraad!C:C,verfvoorraad!D:D),IFERROR(_xlfn.XLOOKUP(IF(LEFT(UPPER(K432),4)="REV-","REV-"&amp;VALUE(MID(K432,5,99)),IF(LEN(K432)=5,LEFT(K432,2)&amp;"."&amp;RIGHT(K432,3),K432)),verfvoorraad!E:E,verfvoorraad!D:D),"Niet gevonden")))</f>
        <v/>
      </c>
      <c r="N432" t="str">
        <f>IF(K432="","",IFERROR(_xlfn.XLOOKUP(K432,verfvoorraad!C:C,verfvoorraad!E:E),IFERROR(_xlfn.XLOOKUP(IF(LEFT(UPPER(K432),4)="REV-","REV-"&amp;VALUE(MID(K432,5,99)),IF(LEN(K432)=5,LEFT(K432,2)&amp;"."&amp;RIGHT(K432,3),K432)),verfvoorraad!E:E,verfvoorraad!E:E),"Niet gevonden")))</f>
        <v/>
      </c>
      <c r="O432" t="str">
        <f>IF(K432="","",IFERROR(_xlfn.XLOOKUP(K432,verfvoorraad!C:C,verfvoorraad!F:F),IFERROR(_xlfn.XLOOKUP(IF(LEFT(UPPER(K432),4)="REV-","REV-"&amp;VALUE(MID(K432,5,99)),IF(LEN(K432)=5,LEFT(K432,2)&amp;"."&amp;RIGHT(K432,3),K432)),verfvoorraad!E:E,verfvoorraad!F:F),"Niet gevonden")))</f>
        <v/>
      </c>
      <c r="P432" t="str">
        <f>IF(K432="","",IFERROR(_xlfn.XLOOKUP(K432,verfvoorraad!C:C,verfvoorraad!G:G),IFERROR(_xlfn.XLOOKUP(IF(LEFT(UPPER(K432),4)="REV-","REV-"&amp;VALUE(MID(K432,5,99)),IF(LEN(K432)=5,LEFT(K432,2)&amp;"."&amp;RIGHT(K432,3),K432)),verfvoorraad!E:E,verfvoorraad!G:G),"Niet gevonden")))</f>
        <v/>
      </c>
      <c r="Q432" t="str">
        <f t="shared" si="12"/>
        <v/>
      </c>
      <c r="R432" t="str">
        <f t="shared" si="13"/>
        <v/>
      </c>
    </row>
    <row r="433" spans="6:18" x14ac:dyDescent="0.25">
      <c r="F433"/>
      <c r="G433" s="20"/>
      <c r="H433" s="21"/>
      <c r="K433" s="23"/>
      <c r="L433" t="str">
        <f>IF(K433="","",IFERROR(_xlfn.XLOOKUP(K433,verfvoorraad!C:C,verfvoorraad!B:B),IFERROR(_xlfn.XLOOKUP(IF(LEFT(UPPER(K433),4)="REV-","REV-"&amp;VALUE(MID(K433,5,99)),IF(LEN(K433)=5,LEFT(K433,2)&amp;"."&amp;RIGHT(K433,3),K433)),verfvoorraad!E:E,verfvoorraad!B:B),"Niet gevonden")))</f>
        <v/>
      </c>
      <c r="M433" t="str">
        <f>IF(K433="","",IFERROR(_xlfn.XLOOKUP(K433,verfvoorraad!C:C,verfvoorraad!D:D),IFERROR(_xlfn.XLOOKUP(IF(LEFT(UPPER(K433),4)="REV-","REV-"&amp;VALUE(MID(K433,5,99)),IF(LEN(K433)=5,LEFT(K433,2)&amp;"."&amp;RIGHT(K433,3),K433)),verfvoorraad!E:E,verfvoorraad!D:D),"Niet gevonden")))</f>
        <v/>
      </c>
      <c r="N433" t="str">
        <f>IF(K433="","",IFERROR(_xlfn.XLOOKUP(K433,verfvoorraad!C:C,verfvoorraad!E:E),IFERROR(_xlfn.XLOOKUP(IF(LEFT(UPPER(K433),4)="REV-","REV-"&amp;VALUE(MID(K433,5,99)),IF(LEN(K433)=5,LEFT(K433,2)&amp;"."&amp;RIGHT(K433,3),K433)),verfvoorraad!E:E,verfvoorraad!E:E),"Niet gevonden")))</f>
        <v/>
      </c>
      <c r="O433" t="str">
        <f>IF(K433="","",IFERROR(_xlfn.XLOOKUP(K433,verfvoorraad!C:C,verfvoorraad!F:F),IFERROR(_xlfn.XLOOKUP(IF(LEFT(UPPER(K433),4)="REV-","REV-"&amp;VALUE(MID(K433,5,99)),IF(LEN(K433)=5,LEFT(K433,2)&amp;"."&amp;RIGHT(K433,3),K433)),verfvoorraad!E:E,verfvoorraad!F:F),"Niet gevonden")))</f>
        <v/>
      </c>
      <c r="P433" t="str">
        <f>IF(K433="","",IFERROR(_xlfn.XLOOKUP(K433,verfvoorraad!C:C,verfvoorraad!G:G),IFERROR(_xlfn.XLOOKUP(IF(LEFT(UPPER(K433),4)="REV-","REV-"&amp;VALUE(MID(K433,5,99)),IF(LEN(K433)=5,LEFT(K433,2)&amp;"."&amp;RIGHT(K433,3),K433)),verfvoorraad!E:E,verfvoorraad!G:G),"Niet gevonden")))</f>
        <v/>
      </c>
      <c r="Q433" t="str">
        <f t="shared" si="12"/>
        <v/>
      </c>
      <c r="R433" t="str">
        <f t="shared" si="13"/>
        <v/>
      </c>
    </row>
    <row r="434" spans="6:18" x14ac:dyDescent="0.25">
      <c r="F434"/>
      <c r="G434" s="20"/>
      <c r="H434" s="21"/>
      <c r="K434" s="23"/>
      <c r="L434" t="str">
        <f>IF(K434="","",IFERROR(_xlfn.XLOOKUP(K434,verfvoorraad!C:C,verfvoorraad!B:B),IFERROR(_xlfn.XLOOKUP(IF(LEFT(UPPER(K434),4)="REV-","REV-"&amp;VALUE(MID(K434,5,99)),IF(LEN(K434)=5,LEFT(K434,2)&amp;"."&amp;RIGHT(K434,3),K434)),verfvoorraad!E:E,verfvoorraad!B:B),"Niet gevonden")))</f>
        <v/>
      </c>
      <c r="M434" t="str">
        <f>IF(K434="","",IFERROR(_xlfn.XLOOKUP(K434,verfvoorraad!C:C,verfvoorraad!D:D),IFERROR(_xlfn.XLOOKUP(IF(LEFT(UPPER(K434),4)="REV-","REV-"&amp;VALUE(MID(K434,5,99)),IF(LEN(K434)=5,LEFT(K434,2)&amp;"."&amp;RIGHT(K434,3),K434)),verfvoorraad!E:E,verfvoorraad!D:D),"Niet gevonden")))</f>
        <v/>
      </c>
      <c r="N434" t="str">
        <f>IF(K434="","",IFERROR(_xlfn.XLOOKUP(K434,verfvoorraad!C:C,verfvoorraad!E:E),IFERROR(_xlfn.XLOOKUP(IF(LEFT(UPPER(K434),4)="REV-","REV-"&amp;VALUE(MID(K434,5,99)),IF(LEN(K434)=5,LEFT(K434,2)&amp;"."&amp;RIGHT(K434,3),K434)),verfvoorraad!E:E,verfvoorraad!E:E),"Niet gevonden")))</f>
        <v/>
      </c>
      <c r="O434" t="str">
        <f>IF(K434="","",IFERROR(_xlfn.XLOOKUP(K434,verfvoorraad!C:C,verfvoorraad!F:F),IFERROR(_xlfn.XLOOKUP(IF(LEFT(UPPER(K434),4)="REV-","REV-"&amp;VALUE(MID(K434,5,99)),IF(LEN(K434)=5,LEFT(K434,2)&amp;"."&amp;RIGHT(K434,3),K434)),verfvoorraad!E:E,verfvoorraad!F:F),"Niet gevonden")))</f>
        <v/>
      </c>
      <c r="P434" t="str">
        <f>IF(K434="","",IFERROR(_xlfn.XLOOKUP(K434,verfvoorraad!C:C,verfvoorraad!G:G),IFERROR(_xlfn.XLOOKUP(IF(LEFT(UPPER(K434),4)="REV-","REV-"&amp;VALUE(MID(K434,5,99)),IF(LEN(K434)=5,LEFT(K434,2)&amp;"."&amp;RIGHT(K434,3),K434)),verfvoorraad!E:E,verfvoorraad!G:G),"Niet gevonden")))</f>
        <v/>
      </c>
      <c r="Q434" t="str">
        <f t="shared" si="12"/>
        <v/>
      </c>
      <c r="R434" t="str">
        <f t="shared" si="13"/>
        <v/>
      </c>
    </row>
    <row r="435" spans="6:18" x14ac:dyDescent="0.25">
      <c r="F435"/>
      <c r="G435" s="20"/>
      <c r="H435" s="21"/>
      <c r="K435" s="23"/>
      <c r="L435" t="str">
        <f>IF(K435="","",IFERROR(_xlfn.XLOOKUP(K435,verfvoorraad!C:C,verfvoorraad!B:B),IFERROR(_xlfn.XLOOKUP(IF(LEFT(UPPER(K435),4)="REV-","REV-"&amp;VALUE(MID(K435,5,99)),IF(LEN(K435)=5,LEFT(K435,2)&amp;"."&amp;RIGHT(K435,3),K435)),verfvoorraad!E:E,verfvoorraad!B:B),"Niet gevonden")))</f>
        <v/>
      </c>
      <c r="M435" t="str">
        <f>IF(K435="","",IFERROR(_xlfn.XLOOKUP(K435,verfvoorraad!C:C,verfvoorraad!D:D),IFERROR(_xlfn.XLOOKUP(IF(LEFT(UPPER(K435),4)="REV-","REV-"&amp;VALUE(MID(K435,5,99)),IF(LEN(K435)=5,LEFT(K435,2)&amp;"."&amp;RIGHT(K435,3),K435)),verfvoorraad!E:E,verfvoorraad!D:D),"Niet gevonden")))</f>
        <v/>
      </c>
      <c r="N435" t="str">
        <f>IF(K435="","",IFERROR(_xlfn.XLOOKUP(K435,verfvoorraad!C:C,verfvoorraad!E:E),IFERROR(_xlfn.XLOOKUP(IF(LEFT(UPPER(K435),4)="REV-","REV-"&amp;VALUE(MID(K435,5,99)),IF(LEN(K435)=5,LEFT(K435,2)&amp;"."&amp;RIGHT(K435,3),K435)),verfvoorraad!E:E,verfvoorraad!E:E),"Niet gevonden")))</f>
        <v/>
      </c>
      <c r="O435" t="str">
        <f>IF(K435="","",IFERROR(_xlfn.XLOOKUP(K435,verfvoorraad!C:C,verfvoorraad!F:F),IFERROR(_xlfn.XLOOKUP(IF(LEFT(UPPER(K435),4)="REV-","REV-"&amp;VALUE(MID(K435,5,99)),IF(LEN(K435)=5,LEFT(K435,2)&amp;"."&amp;RIGHT(K435,3),K435)),verfvoorraad!E:E,verfvoorraad!F:F),"Niet gevonden")))</f>
        <v/>
      </c>
      <c r="P435" t="str">
        <f>IF(K435="","",IFERROR(_xlfn.XLOOKUP(K435,verfvoorraad!C:C,verfvoorraad!G:G),IFERROR(_xlfn.XLOOKUP(IF(LEFT(UPPER(K435),4)="REV-","REV-"&amp;VALUE(MID(K435,5,99)),IF(LEN(K435)=5,LEFT(K435,2)&amp;"."&amp;RIGHT(K435,3),K435)),verfvoorraad!E:E,verfvoorraad!G:G),"Niet gevonden")))</f>
        <v/>
      </c>
      <c r="Q435" t="str">
        <f t="shared" si="12"/>
        <v/>
      </c>
      <c r="R435" t="str">
        <f t="shared" si="13"/>
        <v/>
      </c>
    </row>
    <row r="436" spans="6:18" x14ac:dyDescent="0.25">
      <c r="F436"/>
      <c r="G436" s="20"/>
      <c r="H436" s="21"/>
      <c r="K436" s="23"/>
      <c r="L436" t="str">
        <f>IF(K436="","",IFERROR(_xlfn.XLOOKUP(K436,verfvoorraad!C:C,verfvoorraad!B:B),IFERROR(_xlfn.XLOOKUP(IF(LEFT(UPPER(K436),4)="REV-","REV-"&amp;VALUE(MID(K436,5,99)),IF(LEN(K436)=5,LEFT(K436,2)&amp;"."&amp;RIGHT(K436,3),K436)),verfvoorraad!E:E,verfvoorraad!B:B),"Niet gevonden")))</f>
        <v/>
      </c>
      <c r="M436" t="str">
        <f>IF(K436="","",IFERROR(_xlfn.XLOOKUP(K436,verfvoorraad!C:C,verfvoorraad!D:D),IFERROR(_xlfn.XLOOKUP(IF(LEFT(UPPER(K436),4)="REV-","REV-"&amp;VALUE(MID(K436,5,99)),IF(LEN(K436)=5,LEFT(K436,2)&amp;"."&amp;RIGHT(K436,3),K436)),verfvoorraad!E:E,verfvoorraad!D:D),"Niet gevonden")))</f>
        <v/>
      </c>
      <c r="N436" t="str">
        <f>IF(K436="","",IFERROR(_xlfn.XLOOKUP(K436,verfvoorraad!C:C,verfvoorraad!E:E),IFERROR(_xlfn.XLOOKUP(IF(LEFT(UPPER(K436),4)="REV-","REV-"&amp;VALUE(MID(K436,5,99)),IF(LEN(K436)=5,LEFT(K436,2)&amp;"."&amp;RIGHT(K436,3),K436)),verfvoorraad!E:E,verfvoorraad!E:E),"Niet gevonden")))</f>
        <v/>
      </c>
      <c r="O436" t="str">
        <f>IF(K436="","",IFERROR(_xlfn.XLOOKUP(K436,verfvoorraad!C:C,verfvoorraad!F:F),IFERROR(_xlfn.XLOOKUP(IF(LEFT(UPPER(K436),4)="REV-","REV-"&amp;VALUE(MID(K436,5,99)),IF(LEN(K436)=5,LEFT(K436,2)&amp;"."&amp;RIGHT(K436,3),K436)),verfvoorraad!E:E,verfvoorraad!F:F),"Niet gevonden")))</f>
        <v/>
      </c>
      <c r="P436" t="str">
        <f>IF(K436="","",IFERROR(_xlfn.XLOOKUP(K436,verfvoorraad!C:C,verfvoorraad!G:G),IFERROR(_xlfn.XLOOKUP(IF(LEFT(UPPER(K436),4)="REV-","REV-"&amp;VALUE(MID(K436,5,99)),IF(LEN(K436)=5,LEFT(K436,2)&amp;"."&amp;RIGHT(K436,3),K436)),verfvoorraad!E:E,verfvoorraad!G:G),"Niet gevonden")))</f>
        <v/>
      </c>
      <c r="Q436" t="str">
        <f t="shared" si="12"/>
        <v/>
      </c>
      <c r="R436" t="str">
        <f t="shared" si="13"/>
        <v/>
      </c>
    </row>
    <row r="437" spans="6:18" x14ac:dyDescent="0.25">
      <c r="F437"/>
      <c r="G437" s="20"/>
      <c r="H437" s="21"/>
      <c r="K437" s="23"/>
      <c r="L437" t="str">
        <f>IF(K437="","",IFERROR(_xlfn.XLOOKUP(K437,verfvoorraad!C:C,verfvoorraad!B:B),IFERROR(_xlfn.XLOOKUP(IF(LEFT(UPPER(K437),4)="REV-","REV-"&amp;VALUE(MID(K437,5,99)),IF(LEN(K437)=5,LEFT(K437,2)&amp;"."&amp;RIGHT(K437,3),K437)),verfvoorraad!E:E,verfvoorraad!B:B),"Niet gevonden")))</f>
        <v/>
      </c>
      <c r="M437" t="str">
        <f>IF(K437="","",IFERROR(_xlfn.XLOOKUP(K437,verfvoorraad!C:C,verfvoorraad!D:D),IFERROR(_xlfn.XLOOKUP(IF(LEFT(UPPER(K437),4)="REV-","REV-"&amp;VALUE(MID(K437,5,99)),IF(LEN(K437)=5,LEFT(K437,2)&amp;"."&amp;RIGHT(K437,3),K437)),verfvoorraad!E:E,verfvoorraad!D:D),"Niet gevonden")))</f>
        <v/>
      </c>
      <c r="N437" t="str">
        <f>IF(K437="","",IFERROR(_xlfn.XLOOKUP(K437,verfvoorraad!C:C,verfvoorraad!E:E),IFERROR(_xlfn.XLOOKUP(IF(LEFT(UPPER(K437),4)="REV-","REV-"&amp;VALUE(MID(K437,5,99)),IF(LEN(K437)=5,LEFT(K437,2)&amp;"."&amp;RIGHT(K437,3),K437)),verfvoorraad!E:E,verfvoorraad!E:E),"Niet gevonden")))</f>
        <v/>
      </c>
      <c r="O437" t="str">
        <f>IF(K437="","",IFERROR(_xlfn.XLOOKUP(K437,verfvoorraad!C:C,verfvoorraad!F:F),IFERROR(_xlfn.XLOOKUP(IF(LEFT(UPPER(K437),4)="REV-","REV-"&amp;VALUE(MID(K437,5,99)),IF(LEN(K437)=5,LEFT(K437,2)&amp;"."&amp;RIGHT(K437,3),K437)),verfvoorraad!E:E,verfvoorraad!F:F),"Niet gevonden")))</f>
        <v/>
      </c>
      <c r="P437" t="str">
        <f>IF(K437="","",IFERROR(_xlfn.XLOOKUP(K437,verfvoorraad!C:C,verfvoorraad!G:G),IFERROR(_xlfn.XLOOKUP(IF(LEFT(UPPER(K437),4)="REV-","REV-"&amp;VALUE(MID(K437,5,99)),IF(LEN(K437)=5,LEFT(K437,2)&amp;"."&amp;RIGHT(K437,3),K437)),verfvoorraad!E:E,verfvoorraad!G:G),"Niet gevonden")))</f>
        <v/>
      </c>
      <c r="Q437" t="str">
        <f t="shared" si="12"/>
        <v/>
      </c>
      <c r="R437" t="str">
        <f t="shared" si="13"/>
        <v/>
      </c>
    </row>
    <row r="438" spans="6:18" x14ac:dyDescent="0.25">
      <c r="F438"/>
      <c r="G438" s="20"/>
      <c r="H438" s="21"/>
      <c r="K438" s="23"/>
      <c r="L438" t="str">
        <f>IF(K438="","",IFERROR(_xlfn.XLOOKUP(K438,verfvoorraad!C:C,verfvoorraad!B:B),IFERROR(_xlfn.XLOOKUP(IF(LEFT(UPPER(K438),4)="REV-","REV-"&amp;VALUE(MID(K438,5,99)),IF(LEN(K438)=5,LEFT(K438,2)&amp;"."&amp;RIGHT(K438,3),K438)),verfvoorraad!E:E,verfvoorraad!B:B),"Niet gevonden")))</f>
        <v/>
      </c>
      <c r="M438" t="str">
        <f>IF(K438="","",IFERROR(_xlfn.XLOOKUP(K438,verfvoorraad!C:C,verfvoorraad!D:D),IFERROR(_xlfn.XLOOKUP(IF(LEFT(UPPER(K438),4)="REV-","REV-"&amp;VALUE(MID(K438,5,99)),IF(LEN(K438)=5,LEFT(K438,2)&amp;"."&amp;RIGHT(K438,3),K438)),verfvoorraad!E:E,verfvoorraad!D:D),"Niet gevonden")))</f>
        <v/>
      </c>
      <c r="N438" t="str">
        <f>IF(K438="","",IFERROR(_xlfn.XLOOKUP(K438,verfvoorraad!C:C,verfvoorraad!E:E),IFERROR(_xlfn.XLOOKUP(IF(LEFT(UPPER(K438),4)="REV-","REV-"&amp;VALUE(MID(K438,5,99)),IF(LEN(K438)=5,LEFT(K438,2)&amp;"."&amp;RIGHT(K438,3),K438)),verfvoorraad!E:E,verfvoorraad!E:E),"Niet gevonden")))</f>
        <v/>
      </c>
      <c r="O438" t="str">
        <f>IF(K438="","",IFERROR(_xlfn.XLOOKUP(K438,verfvoorraad!C:C,verfvoorraad!F:F),IFERROR(_xlfn.XLOOKUP(IF(LEFT(UPPER(K438),4)="REV-","REV-"&amp;VALUE(MID(K438,5,99)),IF(LEN(K438)=5,LEFT(K438,2)&amp;"."&amp;RIGHT(K438,3),K438)),verfvoorraad!E:E,verfvoorraad!F:F),"Niet gevonden")))</f>
        <v/>
      </c>
      <c r="P438" t="str">
        <f>IF(K438="","",IFERROR(_xlfn.XLOOKUP(K438,verfvoorraad!C:C,verfvoorraad!G:G),IFERROR(_xlfn.XLOOKUP(IF(LEFT(UPPER(K438),4)="REV-","REV-"&amp;VALUE(MID(K438,5,99)),IF(LEN(K438)=5,LEFT(K438,2)&amp;"."&amp;RIGHT(K438,3),K438)),verfvoorraad!E:E,verfvoorraad!G:G),"Niet gevonden")))</f>
        <v/>
      </c>
      <c r="Q438" t="str">
        <f t="shared" si="12"/>
        <v/>
      </c>
      <c r="R438" t="str">
        <f t="shared" si="13"/>
        <v/>
      </c>
    </row>
    <row r="439" spans="6:18" x14ac:dyDescent="0.25">
      <c r="F439"/>
      <c r="G439" s="20"/>
      <c r="H439" s="21"/>
      <c r="K439" s="23"/>
      <c r="L439" t="str">
        <f>IF(K439="","",IFERROR(_xlfn.XLOOKUP(K439,verfvoorraad!C:C,verfvoorraad!B:B),IFERROR(_xlfn.XLOOKUP(IF(LEFT(UPPER(K439),4)="REV-","REV-"&amp;VALUE(MID(K439,5,99)),IF(LEN(K439)=5,LEFT(K439,2)&amp;"."&amp;RIGHT(K439,3),K439)),verfvoorraad!E:E,verfvoorraad!B:B),"Niet gevonden")))</f>
        <v/>
      </c>
      <c r="M439" t="str">
        <f>IF(K439="","",IFERROR(_xlfn.XLOOKUP(K439,verfvoorraad!C:C,verfvoorraad!D:D),IFERROR(_xlfn.XLOOKUP(IF(LEFT(UPPER(K439),4)="REV-","REV-"&amp;VALUE(MID(K439,5,99)),IF(LEN(K439)=5,LEFT(K439,2)&amp;"."&amp;RIGHT(K439,3),K439)),verfvoorraad!E:E,verfvoorraad!D:D),"Niet gevonden")))</f>
        <v/>
      </c>
      <c r="N439" t="str">
        <f>IF(K439="","",IFERROR(_xlfn.XLOOKUP(K439,verfvoorraad!C:C,verfvoorraad!E:E),IFERROR(_xlfn.XLOOKUP(IF(LEFT(UPPER(K439),4)="REV-","REV-"&amp;VALUE(MID(K439,5,99)),IF(LEN(K439)=5,LEFT(K439,2)&amp;"."&amp;RIGHT(K439,3),K439)),verfvoorraad!E:E,verfvoorraad!E:E),"Niet gevonden")))</f>
        <v/>
      </c>
      <c r="O439" t="str">
        <f>IF(K439="","",IFERROR(_xlfn.XLOOKUP(K439,verfvoorraad!C:C,verfvoorraad!F:F),IFERROR(_xlfn.XLOOKUP(IF(LEFT(UPPER(K439),4)="REV-","REV-"&amp;VALUE(MID(K439,5,99)),IF(LEN(K439)=5,LEFT(K439,2)&amp;"."&amp;RIGHT(K439,3),K439)),verfvoorraad!E:E,verfvoorraad!F:F),"Niet gevonden")))</f>
        <v/>
      </c>
      <c r="P439" t="str">
        <f>IF(K439="","",IFERROR(_xlfn.XLOOKUP(K439,verfvoorraad!C:C,verfvoorraad!G:G),IFERROR(_xlfn.XLOOKUP(IF(LEFT(UPPER(K439),4)="REV-","REV-"&amp;VALUE(MID(K439,5,99)),IF(LEN(K439)=5,LEFT(K439,2)&amp;"."&amp;RIGHT(K439,3),K439)),verfvoorraad!E:E,verfvoorraad!G:G),"Niet gevonden")))</f>
        <v/>
      </c>
      <c r="Q439" t="str">
        <f t="shared" si="12"/>
        <v/>
      </c>
      <c r="R439" t="str">
        <f t="shared" si="13"/>
        <v/>
      </c>
    </row>
    <row r="440" spans="6:18" x14ac:dyDescent="0.25">
      <c r="F440"/>
      <c r="G440" s="20"/>
      <c r="H440" s="21"/>
      <c r="K440" s="23"/>
      <c r="L440" t="str">
        <f>IF(K440="","",IFERROR(_xlfn.XLOOKUP(K440,verfvoorraad!C:C,verfvoorraad!B:B),IFERROR(_xlfn.XLOOKUP(IF(LEFT(UPPER(K440),4)="REV-","REV-"&amp;VALUE(MID(K440,5,99)),IF(LEN(K440)=5,LEFT(K440,2)&amp;"."&amp;RIGHT(K440,3),K440)),verfvoorraad!E:E,verfvoorraad!B:B),"Niet gevonden")))</f>
        <v/>
      </c>
      <c r="M440" t="str">
        <f>IF(K440="","",IFERROR(_xlfn.XLOOKUP(K440,verfvoorraad!C:C,verfvoorraad!D:D),IFERROR(_xlfn.XLOOKUP(IF(LEFT(UPPER(K440),4)="REV-","REV-"&amp;VALUE(MID(K440,5,99)),IF(LEN(K440)=5,LEFT(K440,2)&amp;"."&amp;RIGHT(K440,3),K440)),verfvoorraad!E:E,verfvoorraad!D:D),"Niet gevonden")))</f>
        <v/>
      </c>
      <c r="N440" t="str">
        <f>IF(K440="","",IFERROR(_xlfn.XLOOKUP(K440,verfvoorraad!C:C,verfvoorraad!E:E),IFERROR(_xlfn.XLOOKUP(IF(LEFT(UPPER(K440),4)="REV-","REV-"&amp;VALUE(MID(K440,5,99)),IF(LEN(K440)=5,LEFT(K440,2)&amp;"."&amp;RIGHT(K440,3),K440)),verfvoorraad!E:E,verfvoorraad!E:E),"Niet gevonden")))</f>
        <v/>
      </c>
      <c r="O440" t="str">
        <f>IF(K440="","",IFERROR(_xlfn.XLOOKUP(K440,verfvoorraad!C:C,verfvoorraad!F:F),IFERROR(_xlfn.XLOOKUP(IF(LEFT(UPPER(K440),4)="REV-","REV-"&amp;VALUE(MID(K440,5,99)),IF(LEN(K440)=5,LEFT(K440,2)&amp;"."&amp;RIGHT(K440,3),K440)),verfvoorraad!E:E,verfvoorraad!F:F),"Niet gevonden")))</f>
        <v/>
      </c>
      <c r="P440" t="str">
        <f>IF(K440="","",IFERROR(_xlfn.XLOOKUP(K440,verfvoorraad!C:C,verfvoorraad!G:G),IFERROR(_xlfn.XLOOKUP(IF(LEFT(UPPER(K440),4)="REV-","REV-"&amp;VALUE(MID(K440,5,99)),IF(LEN(K440)=5,LEFT(K440,2)&amp;"."&amp;RIGHT(K440,3),K440)),verfvoorraad!E:E,verfvoorraad!G:G),"Niet gevonden")))</f>
        <v/>
      </c>
      <c r="Q440" t="str">
        <f t="shared" si="12"/>
        <v/>
      </c>
      <c r="R440" t="str">
        <f t="shared" si="13"/>
        <v/>
      </c>
    </row>
    <row r="441" spans="6:18" x14ac:dyDescent="0.25">
      <c r="F441"/>
      <c r="G441" s="20"/>
      <c r="H441" s="21"/>
      <c r="K441" s="23"/>
      <c r="L441" t="str">
        <f>IF(K441="","",IFERROR(_xlfn.XLOOKUP(K441,verfvoorraad!C:C,verfvoorraad!B:B),IFERROR(_xlfn.XLOOKUP(IF(LEFT(UPPER(K441),4)="REV-","REV-"&amp;VALUE(MID(K441,5,99)),IF(LEN(K441)=5,LEFT(K441,2)&amp;"."&amp;RIGHT(K441,3),K441)),verfvoorraad!E:E,verfvoorraad!B:B),"Niet gevonden")))</f>
        <v/>
      </c>
      <c r="M441" t="str">
        <f>IF(K441="","",IFERROR(_xlfn.XLOOKUP(K441,verfvoorraad!C:C,verfvoorraad!D:D),IFERROR(_xlfn.XLOOKUP(IF(LEFT(UPPER(K441),4)="REV-","REV-"&amp;VALUE(MID(K441,5,99)),IF(LEN(K441)=5,LEFT(K441,2)&amp;"."&amp;RIGHT(K441,3),K441)),verfvoorraad!E:E,verfvoorraad!D:D),"Niet gevonden")))</f>
        <v/>
      </c>
      <c r="N441" t="str">
        <f>IF(K441="","",IFERROR(_xlfn.XLOOKUP(K441,verfvoorraad!C:C,verfvoorraad!E:E),IFERROR(_xlfn.XLOOKUP(IF(LEFT(UPPER(K441),4)="REV-","REV-"&amp;VALUE(MID(K441,5,99)),IF(LEN(K441)=5,LEFT(K441,2)&amp;"."&amp;RIGHT(K441,3),K441)),verfvoorraad!E:E,verfvoorraad!E:E),"Niet gevonden")))</f>
        <v/>
      </c>
      <c r="O441" t="str">
        <f>IF(K441="","",IFERROR(_xlfn.XLOOKUP(K441,verfvoorraad!C:C,verfvoorraad!F:F),IFERROR(_xlfn.XLOOKUP(IF(LEFT(UPPER(K441),4)="REV-","REV-"&amp;VALUE(MID(K441,5,99)),IF(LEN(K441)=5,LEFT(K441,2)&amp;"."&amp;RIGHT(K441,3),K441)),verfvoorraad!E:E,verfvoorraad!F:F),"Niet gevonden")))</f>
        <v/>
      </c>
      <c r="P441" t="str">
        <f>IF(K441="","",IFERROR(_xlfn.XLOOKUP(K441,verfvoorraad!C:C,verfvoorraad!G:G),IFERROR(_xlfn.XLOOKUP(IF(LEFT(UPPER(K441),4)="REV-","REV-"&amp;VALUE(MID(K441,5,99)),IF(LEN(K441)=5,LEFT(K441,2)&amp;"."&amp;RIGHT(K441,3),K441)),verfvoorraad!E:E,verfvoorraad!G:G),"Niet gevonden")))</f>
        <v/>
      </c>
      <c r="Q441" t="str">
        <f t="shared" si="12"/>
        <v/>
      </c>
      <c r="R441" t="str">
        <f t="shared" si="13"/>
        <v/>
      </c>
    </row>
    <row r="442" spans="6:18" x14ac:dyDescent="0.25">
      <c r="F442"/>
      <c r="G442" s="20"/>
      <c r="H442" s="21"/>
      <c r="K442" s="23"/>
      <c r="L442" t="str">
        <f>IF(K442="","",IFERROR(_xlfn.XLOOKUP(K442,verfvoorraad!C:C,verfvoorraad!B:B),IFERROR(_xlfn.XLOOKUP(IF(LEFT(UPPER(K442),4)="REV-","REV-"&amp;VALUE(MID(K442,5,99)),IF(LEN(K442)=5,LEFT(K442,2)&amp;"."&amp;RIGHT(K442,3),K442)),verfvoorraad!E:E,verfvoorraad!B:B),"Niet gevonden")))</f>
        <v/>
      </c>
      <c r="M442" t="str">
        <f>IF(K442="","",IFERROR(_xlfn.XLOOKUP(K442,verfvoorraad!C:C,verfvoorraad!D:D),IFERROR(_xlfn.XLOOKUP(IF(LEFT(UPPER(K442),4)="REV-","REV-"&amp;VALUE(MID(K442,5,99)),IF(LEN(K442)=5,LEFT(K442,2)&amp;"."&amp;RIGHT(K442,3),K442)),verfvoorraad!E:E,verfvoorraad!D:D),"Niet gevonden")))</f>
        <v/>
      </c>
      <c r="N442" t="str">
        <f>IF(K442="","",IFERROR(_xlfn.XLOOKUP(K442,verfvoorraad!C:C,verfvoorraad!E:E),IFERROR(_xlfn.XLOOKUP(IF(LEFT(UPPER(K442),4)="REV-","REV-"&amp;VALUE(MID(K442,5,99)),IF(LEN(K442)=5,LEFT(K442,2)&amp;"."&amp;RIGHT(K442,3),K442)),verfvoorraad!E:E,verfvoorraad!E:E),"Niet gevonden")))</f>
        <v/>
      </c>
      <c r="O442" t="str">
        <f>IF(K442="","",IFERROR(_xlfn.XLOOKUP(K442,verfvoorraad!C:C,verfvoorraad!F:F),IFERROR(_xlfn.XLOOKUP(IF(LEFT(UPPER(K442),4)="REV-","REV-"&amp;VALUE(MID(K442,5,99)),IF(LEN(K442)=5,LEFT(K442,2)&amp;"."&amp;RIGHT(K442,3),K442)),verfvoorraad!E:E,verfvoorraad!F:F),"Niet gevonden")))</f>
        <v/>
      </c>
      <c r="P442" t="str">
        <f>IF(K442="","",IFERROR(_xlfn.XLOOKUP(K442,verfvoorraad!C:C,verfvoorraad!G:G),IFERROR(_xlfn.XLOOKUP(IF(LEFT(UPPER(K442),4)="REV-","REV-"&amp;VALUE(MID(K442,5,99)),IF(LEN(K442)=5,LEFT(K442,2)&amp;"."&amp;RIGHT(K442,3),K442)),verfvoorraad!E:E,verfvoorraad!G:G),"Niet gevonden")))</f>
        <v/>
      </c>
      <c r="Q442" t="str">
        <f t="shared" si="12"/>
        <v/>
      </c>
      <c r="R442" t="str">
        <f t="shared" si="13"/>
        <v/>
      </c>
    </row>
    <row r="443" spans="6:18" x14ac:dyDescent="0.25">
      <c r="F443"/>
      <c r="G443" s="20"/>
      <c r="H443" s="21"/>
      <c r="K443" s="23"/>
      <c r="L443" t="str">
        <f>IF(K443="","",IFERROR(_xlfn.XLOOKUP(K443,verfvoorraad!C:C,verfvoorraad!B:B),IFERROR(_xlfn.XLOOKUP(IF(LEFT(UPPER(K443),4)="REV-","REV-"&amp;VALUE(MID(K443,5,99)),IF(LEN(K443)=5,LEFT(K443,2)&amp;"."&amp;RIGHT(K443,3),K443)),verfvoorraad!E:E,verfvoorraad!B:B),"Niet gevonden")))</f>
        <v/>
      </c>
      <c r="M443" t="str">
        <f>IF(K443="","",IFERROR(_xlfn.XLOOKUP(K443,verfvoorraad!C:C,verfvoorraad!D:D),IFERROR(_xlfn.XLOOKUP(IF(LEFT(UPPER(K443),4)="REV-","REV-"&amp;VALUE(MID(K443,5,99)),IF(LEN(K443)=5,LEFT(K443,2)&amp;"."&amp;RIGHT(K443,3),K443)),verfvoorraad!E:E,verfvoorraad!D:D),"Niet gevonden")))</f>
        <v/>
      </c>
      <c r="N443" t="str">
        <f>IF(K443="","",IFERROR(_xlfn.XLOOKUP(K443,verfvoorraad!C:C,verfvoorraad!E:E),IFERROR(_xlfn.XLOOKUP(IF(LEFT(UPPER(K443),4)="REV-","REV-"&amp;VALUE(MID(K443,5,99)),IF(LEN(K443)=5,LEFT(K443,2)&amp;"."&amp;RIGHT(K443,3),K443)),verfvoorraad!E:E,verfvoorraad!E:E),"Niet gevonden")))</f>
        <v/>
      </c>
      <c r="O443" t="str">
        <f>IF(K443="","",IFERROR(_xlfn.XLOOKUP(K443,verfvoorraad!C:C,verfvoorraad!F:F),IFERROR(_xlfn.XLOOKUP(IF(LEFT(UPPER(K443),4)="REV-","REV-"&amp;VALUE(MID(K443,5,99)),IF(LEN(K443)=5,LEFT(K443,2)&amp;"."&amp;RIGHT(K443,3),K443)),verfvoorraad!E:E,verfvoorraad!F:F),"Niet gevonden")))</f>
        <v/>
      </c>
      <c r="P443" t="str">
        <f>IF(K443="","",IFERROR(_xlfn.XLOOKUP(K443,verfvoorraad!C:C,verfvoorraad!G:G),IFERROR(_xlfn.XLOOKUP(IF(LEFT(UPPER(K443),4)="REV-","REV-"&amp;VALUE(MID(K443,5,99)),IF(LEN(K443)=5,LEFT(K443,2)&amp;"."&amp;RIGHT(K443,3),K443)),verfvoorraad!E:E,verfvoorraad!G:G),"Niet gevonden")))</f>
        <v/>
      </c>
      <c r="Q443" t="str">
        <f t="shared" si="12"/>
        <v/>
      </c>
      <c r="R443" t="str">
        <f t="shared" si="13"/>
        <v/>
      </c>
    </row>
    <row r="444" spans="6:18" x14ac:dyDescent="0.25">
      <c r="F444"/>
      <c r="G444" s="20"/>
      <c r="H444" s="21"/>
      <c r="K444" s="23"/>
      <c r="L444" t="str">
        <f>IF(K444="","",IFERROR(_xlfn.XLOOKUP(K444,verfvoorraad!C:C,verfvoorraad!B:B),IFERROR(_xlfn.XLOOKUP(IF(LEFT(UPPER(K444),4)="REV-","REV-"&amp;VALUE(MID(K444,5,99)),IF(LEN(K444)=5,LEFT(K444,2)&amp;"."&amp;RIGHT(K444,3),K444)),verfvoorraad!E:E,verfvoorraad!B:B),"Niet gevonden")))</f>
        <v/>
      </c>
      <c r="M444" t="str">
        <f>IF(K444="","",IFERROR(_xlfn.XLOOKUP(K444,verfvoorraad!C:C,verfvoorraad!D:D),IFERROR(_xlfn.XLOOKUP(IF(LEFT(UPPER(K444),4)="REV-","REV-"&amp;VALUE(MID(K444,5,99)),IF(LEN(K444)=5,LEFT(K444,2)&amp;"."&amp;RIGHT(K444,3),K444)),verfvoorraad!E:E,verfvoorraad!D:D),"Niet gevonden")))</f>
        <v/>
      </c>
      <c r="N444" t="str">
        <f>IF(K444="","",IFERROR(_xlfn.XLOOKUP(K444,verfvoorraad!C:C,verfvoorraad!E:E),IFERROR(_xlfn.XLOOKUP(IF(LEFT(UPPER(K444),4)="REV-","REV-"&amp;VALUE(MID(K444,5,99)),IF(LEN(K444)=5,LEFT(K444,2)&amp;"."&amp;RIGHT(K444,3),K444)),verfvoorraad!E:E,verfvoorraad!E:E),"Niet gevonden")))</f>
        <v/>
      </c>
      <c r="O444" t="str">
        <f>IF(K444="","",IFERROR(_xlfn.XLOOKUP(K444,verfvoorraad!C:C,verfvoorraad!F:F),IFERROR(_xlfn.XLOOKUP(IF(LEFT(UPPER(K444),4)="REV-","REV-"&amp;VALUE(MID(K444,5,99)),IF(LEN(K444)=5,LEFT(K444,2)&amp;"."&amp;RIGHT(K444,3),K444)),verfvoorraad!E:E,verfvoorraad!F:F),"Niet gevonden")))</f>
        <v/>
      </c>
      <c r="P444" t="str">
        <f>IF(K444="","",IFERROR(_xlfn.XLOOKUP(K444,verfvoorraad!C:C,verfvoorraad!G:G),IFERROR(_xlfn.XLOOKUP(IF(LEFT(UPPER(K444),4)="REV-","REV-"&amp;VALUE(MID(K444,5,99)),IF(LEN(K444)=5,LEFT(K444,2)&amp;"."&amp;RIGHT(K444,3),K444)),verfvoorraad!E:E,verfvoorraad!G:G),"Niet gevonden")))</f>
        <v/>
      </c>
      <c r="Q444" t="str">
        <f t="shared" si="12"/>
        <v/>
      </c>
      <c r="R444" t="str">
        <f t="shared" si="13"/>
        <v/>
      </c>
    </row>
    <row r="445" spans="6:18" x14ac:dyDescent="0.25">
      <c r="F445"/>
      <c r="G445" s="20"/>
      <c r="H445" s="21"/>
      <c r="K445" s="23"/>
      <c r="L445" t="str">
        <f>IF(K445="","",IFERROR(_xlfn.XLOOKUP(K445,verfvoorraad!C:C,verfvoorraad!B:B),IFERROR(_xlfn.XLOOKUP(IF(LEFT(UPPER(K445),4)="REV-","REV-"&amp;VALUE(MID(K445,5,99)),IF(LEN(K445)=5,LEFT(K445,2)&amp;"."&amp;RIGHT(K445,3),K445)),verfvoorraad!E:E,verfvoorraad!B:B),"Niet gevonden")))</f>
        <v/>
      </c>
      <c r="M445" t="str">
        <f>IF(K445="","",IFERROR(_xlfn.XLOOKUP(K445,verfvoorraad!C:C,verfvoorraad!D:D),IFERROR(_xlfn.XLOOKUP(IF(LEFT(UPPER(K445),4)="REV-","REV-"&amp;VALUE(MID(K445,5,99)),IF(LEN(K445)=5,LEFT(K445,2)&amp;"."&amp;RIGHT(K445,3),K445)),verfvoorraad!E:E,verfvoorraad!D:D),"Niet gevonden")))</f>
        <v/>
      </c>
      <c r="N445" t="str">
        <f>IF(K445="","",IFERROR(_xlfn.XLOOKUP(K445,verfvoorraad!C:C,verfvoorraad!E:E),IFERROR(_xlfn.XLOOKUP(IF(LEFT(UPPER(K445),4)="REV-","REV-"&amp;VALUE(MID(K445,5,99)),IF(LEN(K445)=5,LEFT(K445,2)&amp;"."&amp;RIGHT(K445,3),K445)),verfvoorraad!E:E,verfvoorraad!E:E),"Niet gevonden")))</f>
        <v/>
      </c>
      <c r="O445" t="str">
        <f>IF(K445="","",IFERROR(_xlfn.XLOOKUP(K445,verfvoorraad!C:C,verfvoorraad!F:F),IFERROR(_xlfn.XLOOKUP(IF(LEFT(UPPER(K445),4)="REV-","REV-"&amp;VALUE(MID(K445,5,99)),IF(LEN(K445)=5,LEFT(K445,2)&amp;"."&amp;RIGHT(K445,3),K445)),verfvoorraad!E:E,verfvoorraad!F:F),"Niet gevonden")))</f>
        <v/>
      </c>
      <c r="P445" t="str">
        <f>IF(K445="","",IFERROR(_xlfn.XLOOKUP(K445,verfvoorraad!C:C,verfvoorraad!G:G),IFERROR(_xlfn.XLOOKUP(IF(LEFT(UPPER(K445),4)="REV-","REV-"&amp;VALUE(MID(K445,5,99)),IF(LEN(K445)=5,LEFT(K445,2)&amp;"."&amp;RIGHT(K445,3),K445)),verfvoorraad!E:E,verfvoorraad!G:G),"Niet gevonden")))</f>
        <v/>
      </c>
      <c r="Q445" t="str">
        <f t="shared" si="12"/>
        <v/>
      </c>
      <c r="R445" t="str">
        <f t="shared" si="13"/>
        <v/>
      </c>
    </row>
    <row r="446" spans="6:18" x14ac:dyDescent="0.25">
      <c r="F446"/>
      <c r="G446" s="20"/>
      <c r="H446" s="21"/>
      <c r="K446" s="23"/>
      <c r="L446" t="str">
        <f>IF(K446="","",IFERROR(_xlfn.XLOOKUP(K446,verfvoorraad!C:C,verfvoorraad!B:B),IFERROR(_xlfn.XLOOKUP(IF(LEFT(UPPER(K446),4)="REV-","REV-"&amp;VALUE(MID(K446,5,99)),IF(LEN(K446)=5,LEFT(K446,2)&amp;"."&amp;RIGHT(K446,3),K446)),verfvoorraad!E:E,verfvoorraad!B:B),"Niet gevonden")))</f>
        <v/>
      </c>
      <c r="M446" t="str">
        <f>IF(K446="","",IFERROR(_xlfn.XLOOKUP(K446,verfvoorraad!C:C,verfvoorraad!D:D),IFERROR(_xlfn.XLOOKUP(IF(LEFT(UPPER(K446),4)="REV-","REV-"&amp;VALUE(MID(K446,5,99)),IF(LEN(K446)=5,LEFT(K446,2)&amp;"."&amp;RIGHT(K446,3),K446)),verfvoorraad!E:E,verfvoorraad!D:D),"Niet gevonden")))</f>
        <v/>
      </c>
      <c r="N446" t="str">
        <f>IF(K446="","",IFERROR(_xlfn.XLOOKUP(K446,verfvoorraad!C:C,verfvoorraad!E:E),IFERROR(_xlfn.XLOOKUP(IF(LEFT(UPPER(K446),4)="REV-","REV-"&amp;VALUE(MID(K446,5,99)),IF(LEN(K446)=5,LEFT(K446,2)&amp;"."&amp;RIGHT(K446,3),K446)),verfvoorraad!E:E,verfvoorraad!E:E),"Niet gevonden")))</f>
        <v/>
      </c>
      <c r="O446" t="str">
        <f>IF(K446="","",IFERROR(_xlfn.XLOOKUP(K446,verfvoorraad!C:C,verfvoorraad!F:F),IFERROR(_xlfn.XLOOKUP(IF(LEFT(UPPER(K446),4)="REV-","REV-"&amp;VALUE(MID(K446,5,99)),IF(LEN(K446)=5,LEFT(K446,2)&amp;"."&amp;RIGHT(K446,3),K446)),verfvoorraad!E:E,verfvoorraad!F:F),"Niet gevonden")))</f>
        <v/>
      </c>
      <c r="P446" t="str">
        <f>IF(K446="","",IFERROR(_xlfn.XLOOKUP(K446,verfvoorraad!C:C,verfvoorraad!G:G),IFERROR(_xlfn.XLOOKUP(IF(LEFT(UPPER(K446),4)="REV-","REV-"&amp;VALUE(MID(K446,5,99)),IF(LEN(K446)=5,LEFT(K446,2)&amp;"."&amp;RIGHT(K446,3),K446)),verfvoorraad!E:E,verfvoorraad!G:G),"Niet gevonden")))</f>
        <v/>
      </c>
      <c r="Q446" t="str">
        <f t="shared" si="12"/>
        <v/>
      </c>
      <c r="R446" t="str">
        <f t="shared" si="13"/>
        <v/>
      </c>
    </row>
    <row r="447" spans="6:18" x14ac:dyDescent="0.25">
      <c r="F447"/>
      <c r="G447" s="20"/>
      <c r="H447" s="21"/>
      <c r="K447" s="23"/>
      <c r="L447" t="str">
        <f>IF(K447="","",IFERROR(_xlfn.XLOOKUP(K447,verfvoorraad!C:C,verfvoorraad!B:B),IFERROR(_xlfn.XLOOKUP(IF(LEFT(UPPER(K447),4)="REV-","REV-"&amp;VALUE(MID(K447,5,99)),IF(LEN(K447)=5,LEFT(K447,2)&amp;"."&amp;RIGHT(K447,3),K447)),verfvoorraad!E:E,verfvoorraad!B:B),"Niet gevonden")))</f>
        <v/>
      </c>
      <c r="M447" t="str">
        <f>IF(K447="","",IFERROR(_xlfn.XLOOKUP(K447,verfvoorraad!C:C,verfvoorraad!D:D),IFERROR(_xlfn.XLOOKUP(IF(LEFT(UPPER(K447),4)="REV-","REV-"&amp;VALUE(MID(K447,5,99)),IF(LEN(K447)=5,LEFT(K447,2)&amp;"."&amp;RIGHT(K447,3),K447)),verfvoorraad!E:E,verfvoorraad!D:D),"Niet gevonden")))</f>
        <v/>
      </c>
      <c r="N447" t="str">
        <f>IF(K447="","",IFERROR(_xlfn.XLOOKUP(K447,verfvoorraad!C:C,verfvoorraad!E:E),IFERROR(_xlfn.XLOOKUP(IF(LEFT(UPPER(K447),4)="REV-","REV-"&amp;VALUE(MID(K447,5,99)),IF(LEN(K447)=5,LEFT(K447,2)&amp;"."&amp;RIGHT(K447,3),K447)),verfvoorraad!E:E,verfvoorraad!E:E),"Niet gevonden")))</f>
        <v/>
      </c>
      <c r="O447" t="str">
        <f>IF(K447="","",IFERROR(_xlfn.XLOOKUP(K447,verfvoorraad!C:C,verfvoorraad!F:F),IFERROR(_xlfn.XLOOKUP(IF(LEFT(UPPER(K447),4)="REV-","REV-"&amp;VALUE(MID(K447,5,99)),IF(LEN(K447)=5,LEFT(K447,2)&amp;"."&amp;RIGHT(K447,3),K447)),verfvoorraad!E:E,verfvoorraad!F:F),"Niet gevonden")))</f>
        <v/>
      </c>
      <c r="P447" t="str">
        <f>IF(K447="","",IFERROR(_xlfn.XLOOKUP(K447,verfvoorraad!C:C,verfvoorraad!G:G),IFERROR(_xlfn.XLOOKUP(IF(LEFT(UPPER(K447),4)="REV-","REV-"&amp;VALUE(MID(K447,5,99)),IF(LEN(K447)=5,LEFT(K447,2)&amp;"."&amp;RIGHT(K447,3),K447)),verfvoorraad!E:E,verfvoorraad!G:G),"Niet gevonden")))</f>
        <v/>
      </c>
      <c r="Q447" t="str">
        <f t="shared" si="12"/>
        <v/>
      </c>
      <c r="R447" t="str">
        <f t="shared" si="13"/>
        <v/>
      </c>
    </row>
    <row r="448" spans="6:18" x14ac:dyDescent="0.25">
      <c r="F448"/>
      <c r="G448" s="20"/>
      <c r="H448" s="21"/>
      <c r="K448" s="23"/>
      <c r="L448" t="str">
        <f>IF(K448="","",IFERROR(_xlfn.XLOOKUP(K448,verfvoorraad!C:C,verfvoorraad!B:B),IFERROR(_xlfn.XLOOKUP(IF(LEFT(UPPER(K448),4)="REV-","REV-"&amp;VALUE(MID(K448,5,99)),IF(LEN(K448)=5,LEFT(K448,2)&amp;"."&amp;RIGHT(K448,3),K448)),verfvoorraad!E:E,verfvoorraad!B:B),"Niet gevonden")))</f>
        <v/>
      </c>
      <c r="M448" t="str">
        <f>IF(K448="","",IFERROR(_xlfn.XLOOKUP(K448,verfvoorraad!C:C,verfvoorraad!D:D),IFERROR(_xlfn.XLOOKUP(IF(LEFT(UPPER(K448),4)="REV-","REV-"&amp;VALUE(MID(K448,5,99)),IF(LEN(K448)=5,LEFT(K448,2)&amp;"."&amp;RIGHT(K448,3),K448)),verfvoorraad!E:E,verfvoorraad!D:D),"Niet gevonden")))</f>
        <v/>
      </c>
      <c r="N448" t="str">
        <f>IF(K448="","",IFERROR(_xlfn.XLOOKUP(K448,verfvoorraad!C:C,verfvoorraad!E:E),IFERROR(_xlfn.XLOOKUP(IF(LEFT(UPPER(K448),4)="REV-","REV-"&amp;VALUE(MID(K448,5,99)),IF(LEN(K448)=5,LEFT(K448,2)&amp;"."&amp;RIGHT(K448,3),K448)),verfvoorraad!E:E,verfvoorraad!E:E),"Niet gevonden")))</f>
        <v/>
      </c>
      <c r="O448" t="str">
        <f>IF(K448="","",IFERROR(_xlfn.XLOOKUP(K448,verfvoorraad!C:C,verfvoorraad!F:F),IFERROR(_xlfn.XLOOKUP(IF(LEFT(UPPER(K448),4)="REV-","REV-"&amp;VALUE(MID(K448,5,99)),IF(LEN(K448)=5,LEFT(K448,2)&amp;"."&amp;RIGHT(K448,3),K448)),verfvoorraad!E:E,verfvoorraad!F:F),"Niet gevonden")))</f>
        <v/>
      </c>
      <c r="P448" t="str">
        <f>IF(K448="","",IFERROR(_xlfn.XLOOKUP(K448,verfvoorraad!C:C,verfvoorraad!G:G),IFERROR(_xlfn.XLOOKUP(IF(LEFT(UPPER(K448),4)="REV-","REV-"&amp;VALUE(MID(K448,5,99)),IF(LEN(K448)=5,LEFT(K448,2)&amp;"."&amp;RIGHT(K448,3),K448)),verfvoorraad!E:E,verfvoorraad!G:G),"Niet gevonden")))</f>
        <v/>
      </c>
      <c r="Q448" t="str">
        <f t="shared" si="12"/>
        <v/>
      </c>
      <c r="R448" t="str">
        <f t="shared" si="13"/>
        <v/>
      </c>
    </row>
    <row r="449" spans="6:18" x14ac:dyDescent="0.25">
      <c r="F449"/>
      <c r="G449" s="20"/>
      <c r="H449" s="21"/>
      <c r="K449" s="23"/>
      <c r="L449" t="str">
        <f>IF(K449="","",IFERROR(_xlfn.XLOOKUP(K449,verfvoorraad!C:C,verfvoorraad!B:B),IFERROR(_xlfn.XLOOKUP(IF(LEFT(UPPER(K449),4)="REV-","REV-"&amp;VALUE(MID(K449,5,99)),IF(LEN(K449)=5,LEFT(K449,2)&amp;"."&amp;RIGHT(K449,3),K449)),verfvoorraad!E:E,verfvoorraad!B:B),"Niet gevonden")))</f>
        <v/>
      </c>
      <c r="M449" t="str">
        <f>IF(K449="","",IFERROR(_xlfn.XLOOKUP(K449,verfvoorraad!C:C,verfvoorraad!D:D),IFERROR(_xlfn.XLOOKUP(IF(LEFT(UPPER(K449),4)="REV-","REV-"&amp;VALUE(MID(K449,5,99)),IF(LEN(K449)=5,LEFT(K449,2)&amp;"."&amp;RIGHT(K449,3),K449)),verfvoorraad!E:E,verfvoorraad!D:D),"Niet gevonden")))</f>
        <v/>
      </c>
      <c r="N449" t="str">
        <f>IF(K449="","",IFERROR(_xlfn.XLOOKUP(K449,verfvoorraad!C:C,verfvoorraad!E:E),IFERROR(_xlfn.XLOOKUP(IF(LEFT(UPPER(K449),4)="REV-","REV-"&amp;VALUE(MID(K449,5,99)),IF(LEN(K449)=5,LEFT(K449,2)&amp;"."&amp;RIGHT(K449,3),K449)),verfvoorraad!E:E,verfvoorraad!E:E),"Niet gevonden")))</f>
        <v/>
      </c>
      <c r="O449" t="str">
        <f>IF(K449="","",IFERROR(_xlfn.XLOOKUP(K449,verfvoorraad!C:C,verfvoorraad!F:F),IFERROR(_xlfn.XLOOKUP(IF(LEFT(UPPER(K449),4)="REV-","REV-"&amp;VALUE(MID(K449,5,99)),IF(LEN(K449)=5,LEFT(K449,2)&amp;"."&amp;RIGHT(K449,3),K449)),verfvoorraad!E:E,verfvoorraad!F:F),"Niet gevonden")))</f>
        <v/>
      </c>
      <c r="P449" t="str">
        <f>IF(K449="","",IFERROR(_xlfn.XLOOKUP(K449,verfvoorraad!C:C,verfvoorraad!G:G),IFERROR(_xlfn.XLOOKUP(IF(LEFT(UPPER(K449),4)="REV-","REV-"&amp;VALUE(MID(K449,5,99)),IF(LEN(K449)=5,LEFT(K449,2)&amp;"."&amp;RIGHT(K449,3),K449)),verfvoorraad!E:E,verfvoorraad!G:G),"Niet gevonden")))</f>
        <v/>
      </c>
      <c r="Q449" t="str">
        <f t="shared" si="12"/>
        <v/>
      </c>
      <c r="R449" t="str">
        <f t="shared" si="13"/>
        <v/>
      </c>
    </row>
    <row r="450" spans="6:18" x14ac:dyDescent="0.25">
      <c r="F450"/>
      <c r="G450" s="20"/>
      <c r="H450" s="21"/>
      <c r="K450" s="23"/>
      <c r="L450" t="str">
        <f>IF(K450="","",IFERROR(_xlfn.XLOOKUP(K450,verfvoorraad!C:C,verfvoorraad!B:B),IFERROR(_xlfn.XLOOKUP(IF(LEFT(UPPER(K450),4)="REV-","REV-"&amp;VALUE(MID(K450,5,99)),IF(LEN(K450)=5,LEFT(K450,2)&amp;"."&amp;RIGHT(K450,3),K450)),verfvoorraad!E:E,verfvoorraad!B:B),"Niet gevonden")))</f>
        <v/>
      </c>
      <c r="M450" t="str">
        <f>IF(K450="","",IFERROR(_xlfn.XLOOKUP(K450,verfvoorraad!C:C,verfvoorraad!D:D),IFERROR(_xlfn.XLOOKUP(IF(LEFT(UPPER(K450),4)="REV-","REV-"&amp;VALUE(MID(K450,5,99)),IF(LEN(K450)=5,LEFT(K450,2)&amp;"."&amp;RIGHT(K450,3),K450)),verfvoorraad!E:E,verfvoorraad!D:D),"Niet gevonden")))</f>
        <v/>
      </c>
      <c r="N450" t="str">
        <f>IF(K450="","",IFERROR(_xlfn.XLOOKUP(K450,verfvoorraad!C:C,verfvoorraad!E:E),IFERROR(_xlfn.XLOOKUP(IF(LEFT(UPPER(K450),4)="REV-","REV-"&amp;VALUE(MID(K450,5,99)),IF(LEN(K450)=5,LEFT(K450,2)&amp;"."&amp;RIGHT(K450,3),K450)),verfvoorraad!E:E,verfvoorraad!E:E),"Niet gevonden")))</f>
        <v/>
      </c>
      <c r="O450" t="str">
        <f>IF(K450="","",IFERROR(_xlfn.XLOOKUP(K450,verfvoorraad!C:C,verfvoorraad!F:F),IFERROR(_xlfn.XLOOKUP(IF(LEFT(UPPER(K450),4)="REV-","REV-"&amp;VALUE(MID(K450,5,99)),IF(LEN(K450)=5,LEFT(K450,2)&amp;"."&amp;RIGHT(K450,3),K450)),verfvoorraad!E:E,verfvoorraad!F:F),"Niet gevonden")))</f>
        <v/>
      </c>
      <c r="P450" t="str">
        <f>IF(K450="","",IFERROR(_xlfn.XLOOKUP(K450,verfvoorraad!C:C,verfvoorraad!G:G),IFERROR(_xlfn.XLOOKUP(IF(LEFT(UPPER(K450),4)="REV-","REV-"&amp;VALUE(MID(K450,5,99)),IF(LEN(K450)=5,LEFT(K450,2)&amp;"."&amp;RIGHT(K450,3),K450)),verfvoorraad!E:E,verfvoorraad!G:G),"Niet gevonden")))</f>
        <v/>
      </c>
      <c r="Q450" t="str">
        <f t="shared" si="12"/>
        <v/>
      </c>
      <c r="R450" t="str">
        <f t="shared" si="13"/>
        <v/>
      </c>
    </row>
    <row r="451" spans="6:18" x14ac:dyDescent="0.25">
      <c r="F451"/>
      <c r="G451" s="20"/>
      <c r="H451" s="21"/>
      <c r="K451" s="23"/>
      <c r="L451" t="str">
        <f>IF(K451="","",IFERROR(_xlfn.XLOOKUP(K451,verfvoorraad!C:C,verfvoorraad!B:B),IFERROR(_xlfn.XLOOKUP(IF(LEFT(UPPER(K451),4)="REV-","REV-"&amp;VALUE(MID(K451,5,99)),IF(LEN(K451)=5,LEFT(K451,2)&amp;"."&amp;RIGHT(K451,3),K451)),verfvoorraad!E:E,verfvoorraad!B:B),"Niet gevonden")))</f>
        <v/>
      </c>
      <c r="M451" t="str">
        <f>IF(K451="","",IFERROR(_xlfn.XLOOKUP(K451,verfvoorraad!C:C,verfvoorraad!D:D),IFERROR(_xlfn.XLOOKUP(IF(LEFT(UPPER(K451),4)="REV-","REV-"&amp;VALUE(MID(K451,5,99)),IF(LEN(K451)=5,LEFT(K451,2)&amp;"."&amp;RIGHT(K451,3),K451)),verfvoorraad!E:E,verfvoorraad!D:D),"Niet gevonden")))</f>
        <v/>
      </c>
      <c r="N451" t="str">
        <f>IF(K451="","",IFERROR(_xlfn.XLOOKUP(K451,verfvoorraad!C:C,verfvoorraad!E:E),IFERROR(_xlfn.XLOOKUP(IF(LEFT(UPPER(K451),4)="REV-","REV-"&amp;VALUE(MID(K451,5,99)),IF(LEN(K451)=5,LEFT(K451,2)&amp;"."&amp;RIGHT(K451,3),K451)),verfvoorraad!E:E,verfvoorraad!E:E),"Niet gevonden")))</f>
        <v/>
      </c>
      <c r="O451" t="str">
        <f>IF(K451="","",IFERROR(_xlfn.XLOOKUP(K451,verfvoorraad!C:C,verfvoorraad!F:F),IFERROR(_xlfn.XLOOKUP(IF(LEFT(UPPER(K451),4)="REV-","REV-"&amp;VALUE(MID(K451,5,99)),IF(LEN(K451)=5,LEFT(K451,2)&amp;"."&amp;RIGHT(K451,3),K451)),verfvoorraad!E:E,verfvoorraad!F:F),"Niet gevonden")))</f>
        <v/>
      </c>
      <c r="P451" t="str">
        <f>IF(K451="","",IFERROR(_xlfn.XLOOKUP(K451,verfvoorraad!C:C,verfvoorraad!G:G),IFERROR(_xlfn.XLOOKUP(IF(LEFT(UPPER(K451),4)="REV-","REV-"&amp;VALUE(MID(K451,5,99)),IF(LEN(K451)=5,LEFT(K451,2)&amp;"."&amp;RIGHT(K451,3),K451)),verfvoorraad!E:E,verfvoorraad!G:G),"Niet gevonden")))</f>
        <v/>
      </c>
      <c r="Q451" t="str">
        <f t="shared" si="12"/>
        <v/>
      </c>
      <c r="R451" t="str">
        <f t="shared" si="13"/>
        <v/>
      </c>
    </row>
    <row r="452" spans="6:18" x14ac:dyDescent="0.25">
      <c r="F452"/>
      <c r="G452" s="20"/>
      <c r="H452" s="21"/>
      <c r="K452" s="23"/>
      <c r="L452" t="str">
        <f>IF(K452="","",IFERROR(_xlfn.XLOOKUP(K452,verfvoorraad!C:C,verfvoorraad!B:B),IFERROR(_xlfn.XLOOKUP(IF(LEFT(UPPER(K452),4)="REV-","REV-"&amp;VALUE(MID(K452,5,99)),IF(LEN(K452)=5,LEFT(K452,2)&amp;"."&amp;RIGHT(K452,3),K452)),verfvoorraad!E:E,verfvoorraad!B:B),"Niet gevonden")))</f>
        <v/>
      </c>
      <c r="M452" t="str">
        <f>IF(K452="","",IFERROR(_xlfn.XLOOKUP(K452,verfvoorraad!C:C,verfvoorraad!D:D),IFERROR(_xlfn.XLOOKUP(IF(LEFT(UPPER(K452),4)="REV-","REV-"&amp;VALUE(MID(K452,5,99)),IF(LEN(K452)=5,LEFT(K452,2)&amp;"."&amp;RIGHT(K452,3),K452)),verfvoorraad!E:E,verfvoorraad!D:D),"Niet gevonden")))</f>
        <v/>
      </c>
      <c r="N452" t="str">
        <f>IF(K452="","",IFERROR(_xlfn.XLOOKUP(K452,verfvoorraad!C:C,verfvoorraad!E:E),IFERROR(_xlfn.XLOOKUP(IF(LEFT(UPPER(K452),4)="REV-","REV-"&amp;VALUE(MID(K452,5,99)),IF(LEN(K452)=5,LEFT(K452,2)&amp;"."&amp;RIGHT(K452,3),K452)),verfvoorraad!E:E,verfvoorraad!E:E),"Niet gevonden")))</f>
        <v/>
      </c>
      <c r="O452" t="str">
        <f>IF(K452="","",IFERROR(_xlfn.XLOOKUP(K452,verfvoorraad!C:C,verfvoorraad!F:F),IFERROR(_xlfn.XLOOKUP(IF(LEFT(UPPER(K452),4)="REV-","REV-"&amp;VALUE(MID(K452,5,99)),IF(LEN(K452)=5,LEFT(K452,2)&amp;"."&amp;RIGHT(K452,3),K452)),verfvoorraad!E:E,verfvoorraad!F:F),"Niet gevonden")))</f>
        <v/>
      </c>
      <c r="P452" t="str">
        <f>IF(K452="","",IFERROR(_xlfn.XLOOKUP(K452,verfvoorraad!C:C,verfvoorraad!G:G),IFERROR(_xlfn.XLOOKUP(IF(LEFT(UPPER(K452),4)="REV-","REV-"&amp;VALUE(MID(K452,5,99)),IF(LEN(K452)=5,LEFT(K452,2)&amp;"."&amp;RIGHT(K452,3),K452)),verfvoorraad!E:E,verfvoorraad!G:G),"Niet gevonden")))</f>
        <v/>
      </c>
      <c r="Q452" t="str">
        <f t="shared" si="12"/>
        <v/>
      </c>
      <c r="R452" t="str">
        <f t="shared" si="13"/>
        <v/>
      </c>
    </row>
    <row r="453" spans="6:18" x14ac:dyDescent="0.25">
      <c r="F453"/>
      <c r="G453" s="20"/>
      <c r="H453" s="21"/>
      <c r="K453" s="23"/>
      <c r="L453" t="str">
        <f>IF(K453="","",IFERROR(_xlfn.XLOOKUP(K453,verfvoorraad!C:C,verfvoorraad!B:B),IFERROR(_xlfn.XLOOKUP(IF(LEFT(UPPER(K453),4)="REV-","REV-"&amp;VALUE(MID(K453,5,99)),IF(LEN(K453)=5,LEFT(K453,2)&amp;"."&amp;RIGHT(K453,3),K453)),verfvoorraad!E:E,verfvoorraad!B:B),"Niet gevonden")))</f>
        <v/>
      </c>
      <c r="M453" t="str">
        <f>IF(K453="","",IFERROR(_xlfn.XLOOKUP(K453,verfvoorraad!C:C,verfvoorraad!D:D),IFERROR(_xlfn.XLOOKUP(IF(LEFT(UPPER(K453),4)="REV-","REV-"&amp;VALUE(MID(K453,5,99)),IF(LEN(K453)=5,LEFT(K453,2)&amp;"."&amp;RIGHT(K453,3),K453)),verfvoorraad!E:E,verfvoorraad!D:D),"Niet gevonden")))</f>
        <v/>
      </c>
      <c r="N453" t="str">
        <f>IF(K453="","",IFERROR(_xlfn.XLOOKUP(K453,verfvoorraad!C:C,verfvoorraad!E:E),IFERROR(_xlfn.XLOOKUP(IF(LEFT(UPPER(K453),4)="REV-","REV-"&amp;VALUE(MID(K453,5,99)),IF(LEN(K453)=5,LEFT(K453,2)&amp;"."&amp;RIGHT(K453,3),K453)),verfvoorraad!E:E,verfvoorraad!E:E),"Niet gevonden")))</f>
        <v/>
      </c>
      <c r="O453" t="str">
        <f>IF(K453="","",IFERROR(_xlfn.XLOOKUP(K453,verfvoorraad!C:C,verfvoorraad!F:F),IFERROR(_xlfn.XLOOKUP(IF(LEFT(UPPER(K453),4)="REV-","REV-"&amp;VALUE(MID(K453,5,99)),IF(LEN(K453)=5,LEFT(K453,2)&amp;"."&amp;RIGHT(K453,3),K453)),verfvoorraad!E:E,verfvoorraad!F:F),"Niet gevonden")))</f>
        <v/>
      </c>
      <c r="P453" t="str">
        <f>IF(K453="","",IFERROR(_xlfn.XLOOKUP(K453,verfvoorraad!C:C,verfvoorraad!G:G),IFERROR(_xlfn.XLOOKUP(IF(LEFT(UPPER(K453),4)="REV-","REV-"&amp;VALUE(MID(K453,5,99)),IF(LEN(K453)=5,LEFT(K453,2)&amp;"."&amp;RIGHT(K453,3),K453)),verfvoorraad!E:E,verfvoorraad!G:G),"Niet gevonden")))</f>
        <v/>
      </c>
      <c r="Q453" t="str">
        <f t="shared" si="12"/>
        <v/>
      </c>
      <c r="R453" t="str">
        <f t="shared" si="13"/>
        <v/>
      </c>
    </row>
    <row r="454" spans="6:18" x14ac:dyDescent="0.25">
      <c r="F454"/>
      <c r="G454" s="20"/>
      <c r="H454" s="21"/>
      <c r="K454" s="23"/>
      <c r="L454" t="str">
        <f>IF(K454="","",IFERROR(_xlfn.XLOOKUP(K454,verfvoorraad!C:C,verfvoorraad!B:B),IFERROR(_xlfn.XLOOKUP(IF(LEFT(UPPER(K454),4)="REV-","REV-"&amp;VALUE(MID(K454,5,99)),IF(LEN(K454)=5,LEFT(K454,2)&amp;"."&amp;RIGHT(K454,3),K454)),verfvoorraad!E:E,verfvoorraad!B:B),"Niet gevonden")))</f>
        <v/>
      </c>
      <c r="M454" t="str">
        <f>IF(K454="","",IFERROR(_xlfn.XLOOKUP(K454,verfvoorraad!C:C,verfvoorraad!D:D),IFERROR(_xlfn.XLOOKUP(IF(LEFT(UPPER(K454),4)="REV-","REV-"&amp;VALUE(MID(K454,5,99)),IF(LEN(K454)=5,LEFT(K454,2)&amp;"."&amp;RIGHT(K454,3),K454)),verfvoorraad!E:E,verfvoorraad!D:D),"Niet gevonden")))</f>
        <v/>
      </c>
      <c r="N454" t="str">
        <f>IF(K454="","",IFERROR(_xlfn.XLOOKUP(K454,verfvoorraad!C:C,verfvoorraad!E:E),IFERROR(_xlfn.XLOOKUP(IF(LEFT(UPPER(K454),4)="REV-","REV-"&amp;VALUE(MID(K454,5,99)),IF(LEN(K454)=5,LEFT(K454,2)&amp;"."&amp;RIGHT(K454,3),K454)),verfvoorraad!E:E,verfvoorraad!E:E),"Niet gevonden")))</f>
        <v/>
      </c>
      <c r="O454" t="str">
        <f>IF(K454="","",IFERROR(_xlfn.XLOOKUP(K454,verfvoorraad!C:C,verfvoorraad!F:F),IFERROR(_xlfn.XLOOKUP(IF(LEFT(UPPER(K454),4)="REV-","REV-"&amp;VALUE(MID(K454,5,99)),IF(LEN(K454)=5,LEFT(K454,2)&amp;"."&amp;RIGHT(K454,3),K454)),verfvoorraad!E:E,verfvoorraad!F:F),"Niet gevonden")))</f>
        <v/>
      </c>
      <c r="P454" t="str">
        <f>IF(K454="","",IFERROR(_xlfn.XLOOKUP(K454,verfvoorraad!C:C,verfvoorraad!G:G),IFERROR(_xlfn.XLOOKUP(IF(LEFT(UPPER(K454),4)="REV-","REV-"&amp;VALUE(MID(K454,5,99)),IF(LEN(K454)=5,LEFT(K454,2)&amp;"."&amp;RIGHT(K454,3),K454)),verfvoorraad!E:E,verfvoorraad!G:G),"Niet gevonden")))</f>
        <v/>
      </c>
      <c r="Q454" t="str">
        <f t="shared" si="12"/>
        <v/>
      </c>
      <c r="R454" t="str">
        <f t="shared" si="13"/>
        <v/>
      </c>
    </row>
    <row r="455" spans="6:18" x14ac:dyDescent="0.25">
      <c r="F455"/>
      <c r="G455" s="20"/>
      <c r="H455" s="21"/>
      <c r="K455" s="23"/>
      <c r="L455" t="str">
        <f>IF(K455="","",IFERROR(_xlfn.XLOOKUP(K455,verfvoorraad!C:C,verfvoorraad!B:B),IFERROR(_xlfn.XLOOKUP(IF(LEFT(UPPER(K455),4)="REV-","REV-"&amp;VALUE(MID(K455,5,99)),IF(LEN(K455)=5,LEFT(K455,2)&amp;"."&amp;RIGHT(K455,3),K455)),verfvoorraad!E:E,verfvoorraad!B:B),"Niet gevonden")))</f>
        <v/>
      </c>
      <c r="M455" t="str">
        <f>IF(K455="","",IFERROR(_xlfn.XLOOKUP(K455,verfvoorraad!C:C,verfvoorraad!D:D),IFERROR(_xlfn.XLOOKUP(IF(LEFT(UPPER(K455),4)="REV-","REV-"&amp;VALUE(MID(K455,5,99)),IF(LEN(K455)=5,LEFT(K455,2)&amp;"."&amp;RIGHT(K455,3),K455)),verfvoorraad!E:E,verfvoorraad!D:D),"Niet gevonden")))</f>
        <v/>
      </c>
      <c r="N455" t="str">
        <f>IF(K455="","",IFERROR(_xlfn.XLOOKUP(K455,verfvoorraad!C:C,verfvoorraad!E:E),IFERROR(_xlfn.XLOOKUP(IF(LEFT(UPPER(K455),4)="REV-","REV-"&amp;VALUE(MID(K455,5,99)),IF(LEN(K455)=5,LEFT(K455,2)&amp;"."&amp;RIGHT(K455,3),K455)),verfvoorraad!E:E,verfvoorraad!E:E),"Niet gevonden")))</f>
        <v/>
      </c>
      <c r="O455" t="str">
        <f>IF(K455="","",IFERROR(_xlfn.XLOOKUP(K455,verfvoorraad!C:C,verfvoorraad!F:F),IFERROR(_xlfn.XLOOKUP(IF(LEFT(UPPER(K455),4)="REV-","REV-"&amp;VALUE(MID(K455,5,99)),IF(LEN(K455)=5,LEFT(K455,2)&amp;"."&amp;RIGHT(K455,3),K455)),verfvoorraad!E:E,verfvoorraad!F:F),"Niet gevonden")))</f>
        <v/>
      </c>
      <c r="P455" t="str">
        <f>IF(K455="","",IFERROR(_xlfn.XLOOKUP(K455,verfvoorraad!C:C,verfvoorraad!G:G),IFERROR(_xlfn.XLOOKUP(IF(LEFT(UPPER(K455),4)="REV-","REV-"&amp;VALUE(MID(K455,5,99)),IF(LEN(K455)=5,LEFT(K455,2)&amp;"."&amp;RIGHT(K455,3),K455)),verfvoorraad!E:E,verfvoorraad!G:G),"Niet gevonden")))</f>
        <v/>
      </c>
      <c r="Q455" t="str">
        <f t="shared" si="12"/>
        <v/>
      </c>
      <c r="R455" t="str">
        <f t="shared" si="13"/>
        <v/>
      </c>
    </row>
    <row r="456" spans="6:18" x14ac:dyDescent="0.25">
      <c r="F456"/>
      <c r="G456" s="20"/>
      <c r="H456" s="21"/>
      <c r="K456" s="23"/>
      <c r="L456" t="str">
        <f>IF(K456="","",IFERROR(_xlfn.XLOOKUP(K456,verfvoorraad!C:C,verfvoorraad!B:B),IFERROR(_xlfn.XLOOKUP(IF(LEFT(UPPER(K456),4)="REV-","REV-"&amp;VALUE(MID(K456,5,99)),IF(LEN(K456)=5,LEFT(K456,2)&amp;"."&amp;RIGHT(K456,3),K456)),verfvoorraad!E:E,verfvoorraad!B:B),"Niet gevonden")))</f>
        <v/>
      </c>
      <c r="M456" t="str">
        <f>IF(K456="","",IFERROR(_xlfn.XLOOKUP(K456,verfvoorraad!C:C,verfvoorraad!D:D),IFERROR(_xlfn.XLOOKUP(IF(LEFT(UPPER(K456),4)="REV-","REV-"&amp;VALUE(MID(K456,5,99)),IF(LEN(K456)=5,LEFT(K456,2)&amp;"."&amp;RIGHT(K456,3),K456)),verfvoorraad!E:E,verfvoorraad!D:D),"Niet gevonden")))</f>
        <v/>
      </c>
      <c r="N456" t="str">
        <f>IF(K456="","",IFERROR(_xlfn.XLOOKUP(K456,verfvoorraad!C:C,verfvoorraad!E:E),IFERROR(_xlfn.XLOOKUP(IF(LEFT(UPPER(K456),4)="REV-","REV-"&amp;VALUE(MID(K456,5,99)),IF(LEN(K456)=5,LEFT(K456,2)&amp;"."&amp;RIGHT(K456,3),K456)),verfvoorraad!E:E,verfvoorraad!E:E),"Niet gevonden")))</f>
        <v/>
      </c>
      <c r="O456" t="str">
        <f>IF(K456="","",IFERROR(_xlfn.XLOOKUP(K456,verfvoorraad!C:C,verfvoorraad!F:F),IFERROR(_xlfn.XLOOKUP(IF(LEFT(UPPER(K456),4)="REV-","REV-"&amp;VALUE(MID(K456,5,99)),IF(LEN(K456)=5,LEFT(K456,2)&amp;"."&amp;RIGHT(K456,3),K456)),verfvoorraad!E:E,verfvoorraad!F:F),"Niet gevonden")))</f>
        <v/>
      </c>
      <c r="P456" t="str">
        <f>IF(K456="","",IFERROR(_xlfn.XLOOKUP(K456,verfvoorraad!C:C,verfvoorraad!G:G),IFERROR(_xlfn.XLOOKUP(IF(LEFT(UPPER(K456),4)="REV-","REV-"&amp;VALUE(MID(K456,5,99)),IF(LEN(K456)=5,LEFT(K456,2)&amp;"."&amp;RIGHT(K456,3),K456)),verfvoorraad!E:E,verfvoorraad!G:G),"Niet gevonden")))</f>
        <v/>
      </c>
      <c r="Q456" t="str">
        <f t="shared" si="12"/>
        <v/>
      </c>
      <c r="R456" t="str">
        <f t="shared" si="13"/>
        <v/>
      </c>
    </row>
    <row r="457" spans="6:18" x14ac:dyDescent="0.25">
      <c r="F457"/>
      <c r="G457" s="20"/>
      <c r="H457" s="21"/>
      <c r="K457" s="23"/>
      <c r="L457" t="str">
        <f>IF(K457="","",IFERROR(_xlfn.XLOOKUP(K457,verfvoorraad!C:C,verfvoorraad!B:B),IFERROR(_xlfn.XLOOKUP(IF(LEFT(UPPER(K457),4)="REV-","REV-"&amp;VALUE(MID(K457,5,99)),IF(LEN(K457)=5,LEFT(K457,2)&amp;"."&amp;RIGHT(K457,3),K457)),verfvoorraad!E:E,verfvoorraad!B:B),"Niet gevonden")))</f>
        <v/>
      </c>
      <c r="M457" t="str">
        <f>IF(K457="","",IFERROR(_xlfn.XLOOKUP(K457,verfvoorraad!C:C,verfvoorraad!D:D),IFERROR(_xlfn.XLOOKUP(IF(LEFT(UPPER(K457),4)="REV-","REV-"&amp;VALUE(MID(K457,5,99)),IF(LEN(K457)=5,LEFT(K457,2)&amp;"."&amp;RIGHT(K457,3),K457)),verfvoorraad!E:E,verfvoorraad!D:D),"Niet gevonden")))</f>
        <v/>
      </c>
      <c r="N457" t="str">
        <f>IF(K457="","",IFERROR(_xlfn.XLOOKUP(K457,verfvoorraad!C:C,verfvoorraad!E:E),IFERROR(_xlfn.XLOOKUP(IF(LEFT(UPPER(K457),4)="REV-","REV-"&amp;VALUE(MID(K457,5,99)),IF(LEN(K457)=5,LEFT(K457,2)&amp;"."&amp;RIGHT(K457,3),K457)),verfvoorraad!E:E,verfvoorraad!E:E),"Niet gevonden")))</f>
        <v/>
      </c>
      <c r="O457" t="str">
        <f>IF(K457="","",IFERROR(_xlfn.XLOOKUP(K457,verfvoorraad!C:C,verfvoorraad!F:F),IFERROR(_xlfn.XLOOKUP(IF(LEFT(UPPER(K457),4)="REV-","REV-"&amp;VALUE(MID(K457,5,99)),IF(LEN(K457)=5,LEFT(K457,2)&amp;"."&amp;RIGHT(K457,3),K457)),verfvoorraad!E:E,verfvoorraad!F:F),"Niet gevonden")))</f>
        <v/>
      </c>
      <c r="P457" t="str">
        <f>IF(K457="","",IFERROR(_xlfn.XLOOKUP(K457,verfvoorraad!C:C,verfvoorraad!G:G),IFERROR(_xlfn.XLOOKUP(IF(LEFT(UPPER(K457),4)="REV-","REV-"&amp;VALUE(MID(K457,5,99)),IF(LEN(K457)=5,LEFT(K457,2)&amp;"."&amp;RIGHT(K457,3),K457)),verfvoorraad!E:E,verfvoorraad!G:G),"Niet gevonden")))</f>
        <v/>
      </c>
      <c r="Q457" t="str">
        <f t="shared" si="12"/>
        <v/>
      </c>
      <c r="R457" t="str">
        <f t="shared" si="13"/>
        <v/>
      </c>
    </row>
    <row r="458" spans="6:18" x14ac:dyDescent="0.25">
      <c r="F458"/>
      <c r="G458" s="20"/>
      <c r="H458" s="21"/>
      <c r="K458" s="23"/>
      <c r="L458" t="str">
        <f>IF(K458="","",IFERROR(_xlfn.XLOOKUP(K458,verfvoorraad!C:C,verfvoorraad!B:B),IFERROR(_xlfn.XLOOKUP(IF(LEFT(UPPER(K458),4)="REV-","REV-"&amp;VALUE(MID(K458,5,99)),IF(LEN(K458)=5,LEFT(K458,2)&amp;"."&amp;RIGHT(K458,3),K458)),verfvoorraad!E:E,verfvoorraad!B:B),"Niet gevonden")))</f>
        <v/>
      </c>
      <c r="M458" t="str">
        <f>IF(K458="","",IFERROR(_xlfn.XLOOKUP(K458,verfvoorraad!C:C,verfvoorraad!D:D),IFERROR(_xlfn.XLOOKUP(IF(LEFT(UPPER(K458),4)="REV-","REV-"&amp;VALUE(MID(K458,5,99)),IF(LEN(K458)=5,LEFT(K458,2)&amp;"."&amp;RIGHT(K458,3),K458)),verfvoorraad!E:E,verfvoorraad!D:D),"Niet gevonden")))</f>
        <v/>
      </c>
      <c r="N458" t="str">
        <f>IF(K458="","",IFERROR(_xlfn.XLOOKUP(K458,verfvoorraad!C:C,verfvoorraad!E:E),IFERROR(_xlfn.XLOOKUP(IF(LEFT(UPPER(K458),4)="REV-","REV-"&amp;VALUE(MID(K458,5,99)),IF(LEN(K458)=5,LEFT(K458,2)&amp;"."&amp;RIGHT(K458,3),K458)),verfvoorraad!E:E,verfvoorraad!E:E),"Niet gevonden")))</f>
        <v/>
      </c>
      <c r="O458" t="str">
        <f>IF(K458="","",IFERROR(_xlfn.XLOOKUP(K458,verfvoorraad!C:C,verfvoorraad!F:F),IFERROR(_xlfn.XLOOKUP(IF(LEFT(UPPER(K458),4)="REV-","REV-"&amp;VALUE(MID(K458,5,99)),IF(LEN(K458)=5,LEFT(K458,2)&amp;"."&amp;RIGHT(K458,3),K458)),verfvoorraad!E:E,verfvoorraad!F:F),"Niet gevonden")))</f>
        <v/>
      </c>
      <c r="P458" t="str">
        <f>IF(K458="","",IFERROR(_xlfn.XLOOKUP(K458,verfvoorraad!C:C,verfvoorraad!G:G),IFERROR(_xlfn.XLOOKUP(IF(LEFT(UPPER(K458),4)="REV-","REV-"&amp;VALUE(MID(K458,5,99)),IF(LEN(K458)=5,LEFT(K458,2)&amp;"."&amp;RIGHT(K458,3),K458)),verfvoorraad!E:E,verfvoorraad!G:G),"Niet gevonden")))</f>
        <v/>
      </c>
      <c r="Q458" t="str">
        <f t="shared" si="12"/>
        <v/>
      </c>
      <c r="R458" t="str">
        <f t="shared" si="13"/>
        <v/>
      </c>
    </row>
    <row r="459" spans="6:18" x14ac:dyDescent="0.25">
      <c r="F459"/>
      <c r="G459" s="20"/>
      <c r="H459" s="21"/>
      <c r="K459" s="23"/>
      <c r="L459" t="str">
        <f>IF(K459="","",IFERROR(_xlfn.XLOOKUP(K459,verfvoorraad!C:C,verfvoorraad!B:B),IFERROR(_xlfn.XLOOKUP(IF(LEFT(UPPER(K459),4)="REV-","REV-"&amp;VALUE(MID(K459,5,99)),IF(LEN(K459)=5,LEFT(K459,2)&amp;"."&amp;RIGHT(K459,3),K459)),verfvoorraad!E:E,verfvoorraad!B:B),"Niet gevonden")))</f>
        <v/>
      </c>
      <c r="M459" t="str">
        <f>IF(K459="","",IFERROR(_xlfn.XLOOKUP(K459,verfvoorraad!C:C,verfvoorraad!D:D),IFERROR(_xlfn.XLOOKUP(IF(LEFT(UPPER(K459),4)="REV-","REV-"&amp;VALUE(MID(K459,5,99)),IF(LEN(K459)=5,LEFT(K459,2)&amp;"."&amp;RIGHT(K459,3),K459)),verfvoorraad!E:E,verfvoorraad!D:D),"Niet gevonden")))</f>
        <v/>
      </c>
      <c r="N459" t="str">
        <f>IF(K459="","",IFERROR(_xlfn.XLOOKUP(K459,verfvoorraad!C:C,verfvoorraad!E:E),IFERROR(_xlfn.XLOOKUP(IF(LEFT(UPPER(K459),4)="REV-","REV-"&amp;VALUE(MID(K459,5,99)),IF(LEN(K459)=5,LEFT(K459,2)&amp;"."&amp;RIGHT(K459,3),K459)),verfvoorraad!E:E,verfvoorraad!E:E),"Niet gevonden")))</f>
        <v/>
      </c>
      <c r="O459" t="str">
        <f>IF(K459="","",IFERROR(_xlfn.XLOOKUP(K459,verfvoorraad!C:C,verfvoorraad!F:F),IFERROR(_xlfn.XLOOKUP(IF(LEFT(UPPER(K459),4)="REV-","REV-"&amp;VALUE(MID(K459,5,99)),IF(LEN(K459)=5,LEFT(K459,2)&amp;"."&amp;RIGHT(K459,3),K459)),verfvoorraad!E:E,verfvoorraad!F:F),"Niet gevonden")))</f>
        <v/>
      </c>
      <c r="P459" t="str">
        <f>IF(K459="","",IFERROR(_xlfn.XLOOKUP(K459,verfvoorraad!C:C,verfvoorraad!G:G),IFERROR(_xlfn.XLOOKUP(IF(LEFT(UPPER(K459),4)="REV-","REV-"&amp;VALUE(MID(K459,5,99)),IF(LEN(K459)=5,LEFT(K459,2)&amp;"."&amp;RIGHT(K459,3),K459)),verfvoorraad!E:E,verfvoorraad!G:G),"Niet gevonden")))</f>
        <v/>
      </c>
      <c r="Q459" t="str">
        <f t="shared" si="12"/>
        <v/>
      </c>
      <c r="R459" t="str">
        <f t="shared" si="13"/>
        <v/>
      </c>
    </row>
    <row r="460" spans="6:18" x14ac:dyDescent="0.25">
      <c r="F460"/>
      <c r="G460" s="20"/>
      <c r="H460" s="21"/>
      <c r="K460" s="23"/>
      <c r="L460" t="str">
        <f>IF(K460="","",IFERROR(_xlfn.XLOOKUP(K460,verfvoorraad!C:C,verfvoorraad!B:B),IFERROR(_xlfn.XLOOKUP(IF(LEFT(UPPER(K460),4)="REV-","REV-"&amp;VALUE(MID(K460,5,99)),IF(LEN(K460)=5,LEFT(K460,2)&amp;"."&amp;RIGHT(K460,3),K460)),verfvoorraad!E:E,verfvoorraad!B:B),"Niet gevonden")))</f>
        <v/>
      </c>
      <c r="M460" t="str">
        <f>IF(K460="","",IFERROR(_xlfn.XLOOKUP(K460,verfvoorraad!C:C,verfvoorraad!D:D),IFERROR(_xlfn.XLOOKUP(IF(LEFT(UPPER(K460),4)="REV-","REV-"&amp;VALUE(MID(K460,5,99)),IF(LEN(K460)=5,LEFT(K460,2)&amp;"."&amp;RIGHT(K460,3),K460)),verfvoorraad!E:E,verfvoorraad!D:D),"Niet gevonden")))</f>
        <v/>
      </c>
      <c r="N460" t="str">
        <f>IF(K460="","",IFERROR(_xlfn.XLOOKUP(K460,verfvoorraad!C:C,verfvoorraad!E:E),IFERROR(_xlfn.XLOOKUP(IF(LEFT(UPPER(K460),4)="REV-","REV-"&amp;VALUE(MID(K460,5,99)),IF(LEN(K460)=5,LEFT(K460,2)&amp;"."&amp;RIGHT(K460,3),K460)),verfvoorraad!E:E,verfvoorraad!E:E),"Niet gevonden")))</f>
        <v/>
      </c>
      <c r="O460" t="str">
        <f>IF(K460="","",IFERROR(_xlfn.XLOOKUP(K460,verfvoorraad!C:C,verfvoorraad!F:F),IFERROR(_xlfn.XLOOKUP(IF(LEFT(UPPER(K460),4)="REV-","REV-"&amp;VALUE(MID(K460,5,99)),IF(LEN(K460)=5,LEFT(K460,2)&amp;"."&amp;RIGHT(K460,3),K460)),verfvoorraad!E:E,verfvoorraad!F:F),"Niet gevonden")))</f>
        <v/>
      </c>
      <c r="P460" t="str">
        <f>IF(K460="","",IFERROR(_xlfn.XLOOKUP(K460,verfvoorraad!C:C,verfvoorraad!G:G),IFERROR(_xlfn.XLOOKUP(IF(LEFT(UPPER(K460),4)="REV-","REV-"&amp;VALUE(MID(K460,5,99)),IF(LEN(K460)=5,LEFT(K460,2)&amp;"."&amp;RIGHT(K460,3),K460)),verfvoorraad!E:E,verfvoorraad!G:G),"Niet gevonden")))</f>
        <v/>
      </c>
      <c r="Q460" t="str">
        <f t="shared" si="12"/>
        <v/>
      </c>
      <c r="R460" t="str">
        <f t="shared" si="13"/>
        <v/>
      </c>
    </row>
    <row r="461" spans="6:18" x14ac:dyDescent="0.25">
      <c r="F461"/>
      <c r="G461" s="20"/>
      <c r="H461" s="21"/>
      <c r="K461" s="23"/>
      <c r="L461" t="str">
        <f>IF(K461="","",IFERROR(_xlfn.XLOOKUP(K461,verfvoorraad!C:C,verfvoorraad!B:B),IFERROR(_xlfn.XLOOKUP(IF(LEFT(UPPER(K461),4)="REV-","REV-"&amp;VALUE(MID(K461,5,99)),IF(LEN(K461)=5,LEFT(K461,2)&amp;"."&amp;RIGHT(K461,3),K461)),verfvoorraad!E:E,verfvoorraad!B:B),"Niet gevonden")))</f>
        <v/>
      </c>
      <c r="M461" t="str">
        <f>IF(K461="","",IFERROR(_xlfn.XLOOKUP(K461,verfvoorraad!C:C,verfvoorraad!D:D),IFERROR(_xlfn.XLOOKUP(IF(LEFT(UPPER(K461),4)="REV-","REV-"&amp;VALUE(MID(K461,5,99)),IF(LEN(K461)=5,LEFT(K461,2)&amp;"."&amp;RIGHT(K461,3),K461)),verfvoorraad!E:E,verfvoorraad!D:D),"Niet gevonden")))</f>
        <v/>
      </c>
      <c r="N461" t="str">
        <f>IF(K461="","",IFERROR(_xlfn.XLOOKUP(K461,verfvoorraad!C:C,verfvoorraad!E:E),IFERROR(_xlfn.XLOOKUP(IF(LEFT(UPPER(K461),4)="REV-","REV-"&amp;VALUE(MID(K461,5,99)),IF(LEN(K461)=5,LEFT(K461,2)&amp;"."&amp;RIGHT(K461,3),K461)),verfvoorraad!E:E,verfvoorraad!E:E),"Niet gevonden")))</f>
        <v/>
      </c>
      <c r="O461" t="str">
        <f>IF(K461="","",IFERROR(_xlfn.XLOOKUP(K461,verfvoorraad!C:C,verfvoorraad!F:F),IFERROR(_xlfn.XLOOKUP(IF(LEFT(UPPER(K461),4)="REV-","REV-"&amp;VALUE(MID(K461,5,99)),IF(LEN(K461)=5,LEFT(K461,2)&amp;"."&amp;RIGHT(K461,3),K461)),verfvoorraad!E:E,verfvoorraad!F:F),"Niet gevonden")))</f>
        <v/>
      </c>
      <c r="P461" t="str">
        <f>IF(K461="","",IFERROR(_xlfn.XLOOKUP(K461,verfvoorraad!C:C,verfvoorraad!G:G),IFERROR(_xlfn.XLOOKUP(IF(LEFT(UPPER(K461),4)="REV-","REV-"&amp;VALUE(MID(K461,5,99)),IF(LEN(K461)=5,LEFT(K461,2)&amp;"."&amp;RIGHT(K461,3),K461)),verfvoorraad!E:E,verfvoorraad!G:G),"Niet gevonden")))</f>
        <v/>
      </c>
      <c r="Q461" t="str">
        <f t="shared" si="12"/>
        <v/>
      </c>
      <c r="R461" t="str">
        <f t="shared" si="13"/>
        <v/>
      </c>
    </row>
    <row r="462" spans="6:18" x14ac:dyDescent="0.25">
      <c r="F462"/>
      <c r="G462" s="20"/>
      <c r="H462" s="21"/>
      <c r="K462" s="23"/>
      <c r="L462" t="str">
        <f>IF(K462="","",IFERROR(_xlfn.XLOOKUP(K462,verfvoorraad!C:C,verfvoorraad!B:B),IFERROR(_xlfn.XLOOKUP(IF(LEFT(UPPER(K462),4)="REV-","REV-"&amp;VALUE(MID(K462,5,99)),IF(LEN(K462)=5,LEFT(K462,2)&amp;"."&amp;RIGHT(K462,3),K462)),verfvoorraad!E:E,verfvoorraad!B:B),"Niet gevonden")))</f>
        <v/>
      </c>
      <c r="M462" t="str">
        <f>IF(K462="","",IFERROR(_xlfn.XLOOKUP(K462,verfvoorraad!C:C,verfvoorraad!D:D),IFERROR(_xlfn.XLOOKUP(IF(LEFT(UPPER(K462),4)="REV-","REV-"&amp;VALUE(MID(K462,5,99)),IF(LEN(K462)=5,LEFT(K462,2)&amp;"."&amp;RIGHT(K462,3),K462)),verfvoorraad!E:E,verfvoorraad!D:D),"Niet gevonden")))</f>
        <v/>
      </c>
      <c r="N462" t="str">
        <f>IF(K462="","",IFERROR(_xlfn.XLOOKUP(K462,verfvoorraad!C:C,verfvoorraad!E:E),IFERROR(_xlfn.XLOOKUP(IF(LEFT(UPPER(K462),4)="REV-","REV-"&amp;VALUE(MID(K462,5,99)),IF(LEN(K462)=5,LEFT(K462,2)&amp;"."&amp;RIGHT(K462,3),K462)),verfvoorraad!E:E,verfvoorraad!E:E),"Niet gevonden")))</f>
        <v/>
      </c>
      <c r="O462" t="str">
        <f>IF(K462="","",IFERROR(_xlfn.XLOOKUP(K462,verfvoorraad!C:C,verfvoorraad!F:F),IFERROR(_xlfn.XLOOKUP(IF(LEFT(UPPER(K462),4)="REV-","REV-"&amp;VALUE(MID(K462,5,99)),IF(LEN(K462)=5,LEFT(K462,2)&amp;"."&amp;RIGHT(K462,3),K462)),verfvoorraad!E:E,verfvoorraad!F:F),"Niet gevonden")))</f>
        <v/>
      </c>
      <c r="P462" t="str">
        <f>IF(K462="","",IFERROR(_xlfn.XLOOKUP(K462,verfvoorraad!C:C,verfvoorraad!G:G),IFERROR(_xlfn.XLOOKUP(IF(LEFT(UPPER(K462),4)="REV-","REV-"&amp;VALUE(MID(K462,5,99)),IF(LEN(K462)=5,LEFT(K462,2)&amp;"."&amp;RIGHT(K462,3),K462)),verfvoorraad!E:E,verfvoorraad!G:G),"Niet gevonden")))</f>
        <v/>
      </c>
      <c r="Q462" t="str">
        <f t="shared" si="12"/>
        <v/>
      </c>
      <c r="R462" t="str">
        <f t="shared" si="13"/>
        <v/>
      </c>
    </row>
    <row r="463" spans="6:18" x14ac:dyDescent="0.25">
      <c r="F463"/>
      <c r="G463" s="20"/>
      <c r="H463" s="21"/>
      <c r="K463" s="23"/>
      <c r="L463" t="str">
        <f>IF(K463="","",IFERROR(_xlfn.XLOOKUP(K463,verfvoorraad!C:C,verfvoorraad!B:B),IFERROR(_xlfn.XLOOKUP(IF(LEFT(UPPER(K463),4)="REV-","REV-"&amp;VALUE(MID(K463,5,99)),IF(LEN(K463)=5,LEFT(K463,2)&amp;"."&amp;RIGHT(K463,3),K463)),verfvoorraad!E:E,verfvoorraad!B:B),"Niet gevonden")))</f>
        <v/>
      </c>
      <c r="M463" t="str">
        <f>IF(K463="","",IFERROR(_xlfn.XLOOKUP(K463,verfvoorraad!C:C,verfvoorraad!D:D),IFERROR(_xlfn.XLOOKUP(IF(LEFT(UPPER(K463),4)="REV-","REV-"&amp;VALUE(MID(K463,5,99)),IF(LEN(K463)=5,LEFT(K463,2)&amp;"."&amp;RIGHT(K463,3),K463)),verfvoorraad!E:E,verfvoorraad!D:D),"Niet gevonden")))</f>
        <v/>
      </c>
      <c r="N463" t="str">
        <f>IF(K463="","",IFERROR(_xlfn.XLOOKUP(K463,verfvoorraad!C:C,verfvoorraad!E:E),IFERROR(_xlfn.XLOOKUP(IF(LEFT(UPPER(K463),4)="REV-","REV-"&amp;VALUE(MID(K463,5,99)),IF(LEN(K463)=5,LEFT(K463,2)&amp;"."&amp;RIGHT(K463,3),K463)),verfvoorraad!E:E,verfvoorraad!E:E),"Niet gevonden")))</f>
        <v/>
      </c>
      <c r="O463" t="str">
        <f>IF(K463="","",IFERROR(_xlfn.XLOOKUP(K463,verfvoorraad!C:C,verfvoorraad!F:F),IFERROR(_xlfn.XLOOKUP(IF(LEFT(UPPER(K463),4)="REV-","REV-"&amp;VALUE(MID(K463,5,99)),IF(LEN(K463)=5,LEFT(K463,2)&amp;"."&amp;RIGHT(K463,3),K463)),verfvoorraad!E:E,verfvoorraad!F:F),"Niet gevonden")))</f>
        <v/>
      </c>
      <c r="P463" t="str">
        <f>IF(K463="","",IFERROR(_xlfn.XLOOKUP(K463,verfvoorraad!C:C,verfvoorraad!G:G),IFERROR(_xlfn.XLOOKUP(IF(LEFT(UPPER(K463),4)="REV-","REV-"&amp;VALUE(MID(K463,5,99)),IF(LEN(K463)=5,LEFT(K463,2)&amp;"."&amp;RIGHT(K463,3),K463)),verfvoorraad!E:E,verfvoorraad!G:G),"Niet gevonden")))</f>
        <v/>
      </c>
      <c r="Q463" t="str">
        <f t="shared" si="12"/>
        <v/>
      </c>
      <c r="R463" t="str">
        <f t="shared" si="13"/>
        <v/>
      </c>
    </row>
    <row r="464" spans="6:18" x14ac:dyDescent="0.25">
      <c r="F464"/>
      <c r="G464" s="20"/>
      <c r="H464" s="21"/>
      <c r="K464" s="23"/>
      <c r="L464" t="str">
        <f>IF(K464="","",IFERROR(_xlfn.XLOOKUP(K464,verfvoorraad!C:C,verfvoorraad!B:B),IFERROR(_xlfn.XLOOKUP(IF(LEFT(UPPER(K464),4)="REV-","REV-"&amp;VALUE(MID(K464,5,99)),IF(LEN(K464)=5,LEFT(K464,2)&amp;"."&amp;RIGHT(K464,3),K464)),verfvoorraad!E:E,verfvoorraad!B:B),"Niet gevonden")))</f>
        <v/>
      </c>
      <c r="M464" t="str">
        <f>IF(K464="","",IFERROR(_xlfn.XLOOKUP(K464,verfvoorraad!C:C,verfvoorraad!D:D),IFERROR(_xlfn.XLOOKUP(IF(LEFT(UPPER(K464),4)="REV-","REV-"&amp;VALUE(MID(K464,5,99)),IF(LEN(K464)=5,LEFT(K464,2)&amp;"."&amp;RIGHT(K464,3),K464)),verfvoorraad!E:E,verfvoorraad!D:D),"Niet gevonden")))</f>
        <v/>
      </c>
      <c r="N464" t="str">
        <f>IF(K464="","",IFERROR(_xlfn.XLOOKUP(K464,verfvoorraad!C:C,verfvoorraad!E:E),IFERROR(_xlfn.XLOOKUP(IF(LEFT(UPPER(K464),4)="REV-","REV-"&amp;VALUE(MID(K464,5,99)),IF(LEN(K464)=5,LEFT(K464,2)&amp;"."&amp;RIGHT(K464,3),K464)),verfvoorraad!E:E,verfvoorraad!E:E),"Niet gevonden")))</f>
        <v/>
      </c>
      <c r="O464" t="str">
        <f>IF(K464="","",IFERROR(_xlfn.XLOOKUP(K464,verfvoorraad!C:C,verfvoorraad!F:F),IFERROR(_xlfn.XLOOKUP(IF(LEFT(UPPER(K464),4)="REV-","REV-"&amp;VALUE(MID(K464,5,99)),IF(LEN(K464)=5,LEFT(K464,2)&amp;"."&amp;RIGHT(K464,3),K464)),verfvoorraad!E:E,verfvoorraad!F:F),"Niet gevonden")))</f>
        <v/>
      </c>
      <c r="P464" t="str">
        <f>IF(K464="","",IFERROR(_xlfn.XLOOKUP(K464,verfvoorraad!C:C,verfvoorraad!G:G),IFERROR(_xlfn.XLOOKUP(IF(LEFT(UPPER(K464),4)="REV-","REV-"&amp;VALUE(MID(K464,5,99)),IF(LEN(K464)=5,LEFT(K464,2)&amp;"."&amp;RIGHT(K464,3),K464)),verfvoorraad!E:E,verfvoorraad!G:G),"Niet gevonden")))</f>
        <v/>
      </c>
      <c r="Q464" t="str">
        <f t="shared" si="12"/>
        <v/>
      </c>
      <c r="R464" t="str">
        <f t="shared" si="13"/>
        <v/>
      </c>
    </row>
    <row r="465" spans="6:18" x14ac:dyDescent="0.25">
      <c r="F465"/>
      <c r="G465" s="20"/>
      <c r="H465" s="21"/>
      <c r="K465" s="23"/>
      <c r="L465" t="str">
        <f>IF(K465="","",IFERROR(_xlfn.XLOOKUP(K465,verfvoorraad!C:C,verfvoorraad!B:B),IFERROR(_xlfn.XLOOKUP(IF(LEFT(UPPER(K465),4)="REV-","REV-"&amp;VALUE(MID(K465,5,99)),IF(LEN(K465)=5,LEFT(K465,2)&amp;"."&amp;RIGHT(K465,3),K465)),verfvoorraad!E:E,verfvoorraad!B:B),"Niet gevonden")))</f>
        <v/>
      </c>
      <c r="M465" t="str">
        <f>IF(K465="","",IFERROR(_xlfn.XLOOKUP(K465,verfvoorraad!C:C,verfvoorraad!D:D),IFERROR(_xlfn.XLOOKUP(IF(LEFT(UPPER(K465),4)="REV-","REV-"&amp;VALUE(MID(K465,5,99)),IF(LEN(K465)=5,LEFT(K465,2)&amp;"."&amp;RIGHT(K465,3),K465)),verfvoorraad!E:E,verfvoorraad!D:D),"Niet gevonden")))</f>
        <v/>
      </c>
      <c r="N465" t="str">
        <f>IF(K465="","",IFERROR(_xlfn.XLOOKUP(K465,verfvoorraad!C:C,verfvoorraad!E:E),IFERROR(_xlfn.XLOOKUP(IF(LEFT(UPPER(K465),4)="REV-","REV-"&amp;VALUE(MID(K465,5,99)),IF(LEN(K465)=5,LEFT(K465,2)&amp;"."&amp;RIGHT(K465,3),K465)),verfvoorraad!E:E,verfvoorraad!E:E),"Niet gevonden")))</f>
        <v/>
      </c>
      <c r="O465" t="str">
        <f>IF(K465="","",IFERROR(_xlfn.XLOOKUP(K465,verfvoorraad!C:C,verfvoorraad!F:F),IFERROR(_xlfn.XLOOKUP(IF(LEFT(UPPER(K465),4)="REV-","REV-"&amp;VALUE(MID(K465,5,99)),IF(LEN(K465)=5,LEFT(K465,2)&amp;"."&amp;RIGHT(K465,3),K465)),verfvoorraad!E:E,verfvoorraad!F:F),"Niet gevonden")))</f>
        <v/>
      </c>
      <c r="P465" t="str">
        <f>IF(K465="","",IFERROR(_xlfn.XLOOKUP(K465,verfvoorraad!C:C,verfvoorraad!G:G),IFERROR(_xlfn.XLOOKUP(IF(LEFT(UPPER(K465),4)="REV-","REV-"&amp;VALUE(MID(K465,5,99)),IF(LEN(K465)=5,LEFT(K465,2)&amp;"."&amp;RIGHT(K465,3),K465)),verfvoorraad!E:E,verfvoorraad!G:G),"Niet gevonden")))</f>
        <v/>
      </c>
      <c r="Q465" t="str">
        <f t="shared" si="12"/>
        <v/>
      </c>
      <c r="R465" t="str">
        <f t="shared" si="13"/>
        <v/>
      </c>
    </row>
    <row r="466" spans="6:18" x14ac:dyDescent="0.25">
      <c r="F466"/>
      <c r="G466" s="20"/>
      <c r="H466" s="21"/>
      <c r="K466" s="23"/>
      <c r="L466" t="str">
        <f>IF(K466="","",IFERROR(_xlfn.XLOOKUP(K466,verfvoorraad!C:C,verfvoorraad!B:B),IFERROR(_xlfn.XLOOKUP(IF(LEFT(UPPER(K466),4)="REV-","REV-"&amp;VALUE(MID(K466,5,99)),IF(LEN(K466)=5,LEFT(K466,2)&amp;"."&amp;RIGHT(K466,3),K466)),verfvoorraad!E:E,verfvoorraad!B:B),"Niet gevonden")))</f>
        <v/>
      </c>
      <c r="M466" t="str">
        <f>IF(K466="","",IFERROR(_xlfn.XLOOKUP(K466,verfvoorraad!C:C,verfvoorraad!D:D),IFERROR(_xlfn.XLOOKUP(IF(LEFT(UPPER(K466),4)="REV-","REV-"&amp;VALUE(MID(K466,5,99)),IF(LEN(K466)=5,LEFT(K466,2)&amp;"."&amp;RIGHT(K466,3),K466)),verfvoorraad!E:E,verfvoorraad!D:D),"Niet gevonden")))</f>
        <v/>
      </c>
      <c r="N466" t="str">
        <f>IF(K466="","",IFERROR(_xlfn.XLOOKUP(K466,verfvoorraad!C:C,verfvoorraad!E:E),IFERROR(_xlfn.XLOOKUP(IF(LEFT(UPPER(K466),4)="REV-","REV-"&amp;VALUE(MID(K466,5,99)),IF(LEN(K466)=5,LEFT(K466,2)&amp;"."&amp;RIGHT(K466,3),K466)),verfvoorraad!E:E,verfvoorraad!E:E),"Niet gevonden")))</f>
        <v/>
      </c>
      <c r="O466" t="str">
        <f>IF(K466="","",IFERROR(_xlfn.XLOOKUP(K466,verfvoorraad!C:C,verfvoorraad!F:F),IFERROR(_xlfn.XLOOKUP(IF(LEFT(UPPER(K466),4)="REV-","REV-"&amp;VALUE(MID(K466,5,99)),IF(LEN(K466)=5,LEFT(K466,2)&amp;"."&amp;RIGHT(K466,3),K466)),verfvoorraad!E:E,verfvoorraad!F:F),"Niet gevonden")))</f>
        <v/>
      </c>
      <c r="P466" t="str">
        <f>IF(K466="","",IFERROR(_xlfn.XLOOKUP(K466,verfvoorraad!C:C,verfvoorraad!G:G),IFERROR(_xlfn.XLOOKUP(IF(LEFT(UPPER(K466),4)="REV-","REV-"&amp;VALUE(MID(K466,5,99)),IF(LEN(K466)=5,LEFT(K466,2)&amp;"."&amp;RIGHT(K466,3),K466)),verfvoorraad!E:E,verfvoorraad!G:G),"Niet gevonden")))</f>
        <v/>
      </c>
      <c r="Q466" t="str">
        <f t="shared" si="12"/>
        <v/>
      </c>
      <c r="R466" t="str">
        <f t="shared" si="13"/>
        <v/>
      </c>
    </row>
    <row r="467" spans="6:18" x14ac:dyDescent="0.25">
      <c r="F467"/>
      <c r="G467" s="20"/>
      <c r="H467" s="21"/>
      <c r="K467" s="23"/>
      <c r="L467" t="str">
        <f>IF(K467="","",IFERROR(_xlfn.XLOOKUP(K467,verfvoorraad!C:C,verfvoorraad!B:B),IFERROR(_xlfn.XLOOKUP(IF(LEFT(UPPER(K467),4)="REV-","REV-"&amp;VALUE(MID(K467,5,99)),IF(LEN(K467)=5,LEFT(K467,2)&amp;"."&amp;RIGHT(K467,3),K467)),verfvoorraad!E:E,verfvoorraad!B:B),"Niet gevonden")))</f>
        <v/>
      </c>
      <c r="M467" t="str">
        <f>IF(K467="","",IFERROR(_xlfn.XLOOKUP(K467,verfvoorraad!C:C,verfvoorraad!D:D),IFERROR(_xlfn.XLOOKUP(IF(LEFT(UPPER(K467),4)="REV-","REV-"&amp;VALUE(MID(K467,5,99)),IF(LEN(K467)=5,LEFT(K467,2)&amp;"."&amp;RIGHT(K467,3),K467)),verfvoorraad!E:E,verfvoorraad!D:D),"Niet gevonden")))</f>
        <v/>
      </c>
      <c r="N467" t="str">
        <f>IF(K467="","",IFERROR(_xlfn.XLOOKUP(K467,verfvoorraad!C:C,verfvoorraad!E:E),IFERROR(_xlfn.XLOOKUP(IF(LEFT(UPPER(K467),4)="REV-","REV-"&amp;VALUE(MID(K467,5,99)),IF(LEN(K467)=5,LEFT(K467,2)&amp;"."&amp;RIGHT(K467,3),K467)),verfvoorraad!E:E,verfvoorraad!E:E),"Niet gevonden")))</f>
        <v/>
      </c>
      <c r="O467" t="str">
        <f>IF(K467="","",IFERROR(_xlfn.XLOOKUP(K467,verfvoorraad!C:C,verfvoorraad!F:F),IFERROR(_xlfn.XLOOKUP(IF(LEFT(UPPER(K467),4)="REV-","REV-"&amp;VALUE(MID(K467,5,99)),IF(LEN(K467)=5,LEFT(K467,2)&amp;"."&amp;RIGHT(K467,3),K467)),verfvoorraad!E:E,verfvoorraad!F:F),"Niet gevonden")))</f>
        <v/>
      </c>
      <c r="P467" t="str">
        <f>IF(K467="","",IFERROR(_xlfn.XLOOKUP(K467,verfvoorraad!C:C,verfvoorraad!G:G),IFERROR(_xlfn.XLOOKUP(IF(LEFT(UPPER(K467),4)="REV-","REV-"&amp;VALUE(MID(K467,5,99)),IF(LEN(K467)=5,LEFT(K467,2)&amp;"."&amp;RIGHT(K467,3),K467)),verfvoorraad!E:E,verfvoorraad!G:G),"Niet gevonden")))</f>
        <v/>
      </c>
      <c r="Q467" t="str">
        <f t="shared" si="12"/>
        <v/>
      </c>
      <c r="R467" t="str">
        <f t="shared" si="13"/>
        <v/>
      </c>
    </row>
    <row r="468" spans="6:18" x14ac:dyDescent="0.25">
      <c r="F468"/>
      <c r="G468" s="20"/>
      <c r="H468" s="21"/>
      <c r="K468" s="23"/>
      <c r="L468" t="str">
        <f>IF(K468="","",IFERROR(_xlfn.XLOOKUP(K468,verfvoorraad!C:C,verfvoorraad!B:B),IFERROR(_xlfn.XLOOKUP(IF(LEFT(UPPER(K468),4)="REV-","REV-"&amp;VALUE(MID(K468,5,99)),IF(LEN(K468)=5,LEFT(K468,2)&amp;"."&amp;RIGHT(K468,3),K468)),verfvoorraad!E:E,verfvoorraad!B:B),"Niet gevonden")))</f>
        <v/>
      </c>
      <c r="M468" t="str">
        <f>IF(K468="","",IFERROR(_xlfn.XLOOKUP(K468,verfvoorraad!C:C,verfvoorraad!D:D),IFERROR(_xlfn.XLOOKUP(IF(LEFT(UPPER(K468),4)="REV-","REV-"&amp;VALUE(MID(K468,5,99)),IF(LEN(K468)=5,LEFT(K468,2)&amp;"."&amp;RIGHT(K468,3),K468)),verfvoorraad!E:E,verfvoorraad!D:D),"Niet gevonden")))</f>
        <v/>
      </c>
      <c r="N468" t="str">
        <f>IF(K468="","",IFERROR(_xlfn.XLOOKUP(K468,verfvoorraad!C:C,verfvoorraad!E:E),IFERROR(_xlfn.XLOOKUP(IF(LEFT(UPPER(K468),4)="REV-","REV-"&amp;VALUE(MID(K468,5,99)),IF(LEN(K468)=5,LEFT(K468,2)&amp;"."&amp;RIGHT(K468,3),K468)),verfvoorraad!E:E,verfvoorraad!E:E),"Niet gevonden")))</f>
        <v/>
      </c>
      <c r="O468" t="str">
        <f>IF(K468="","",IFERROR(_xlfn.XLOOKUP(K468,verfvoorraad!C:C,verfvoorraad!F:F),IFERROR(_xlfn.XLOOKUP(IF(LEFT(UPPER(K468),4)="REV-","REV-"&amp;VALUE(MID(K468,5,99)),IF(LEN(K468)=5,LEFT(K468,2)&amp;"."&amp;RIGHT(K468,3),K468)),verfvoorraad!E:E,verfvoorraad!F:F),"Niet gevonden")))</f>
        <v/>
      </c>
      <c r="P468" t="str">
        <f>IF(K468="","",IFERROR(_xlfn.XLOOKUP(K468,verfvoorraad!C:C,verfvoorraad!G:G),IFERROR(_xlfn.XLOOKUP(IF(LEFT(UPPER(K468),4)="REV-","REV-"&amp;VALUE(MID(K468,5,99)),IF(LEN(K468)=5,LEFT(K468,2)&amp;"."&amp;RIGHT(K468,3),K468)),verfvoorraad!E:E,verfvoorraad!G:G),"Niet gevonden")))</f>
        <v/>
      </c>
      <c r="Q468" t="str">
        <f t="shared" si="12"/>
        <v/>
      </c>
      <c r="R468" t="str">
        <f t="shared" si="13"/>
        <v/>
      </c>
    </row>
    <row r="469" spans="6:18" x14ac:dyDescent="0.25">
      <c r="F469"/>
      <c r="G469" s="20"/>
      <c r="H469" s="21"/>
      <c r="K469" s="23"/>
      <c r="L469" t="str">
        <f>IF(K469="","",IFERROR(_xlfn.XLOOKUP(K469,verfvoorraad!C:C,verfvoorraad!B:B),IFERROR(_xlfn.XLOOKUP(IF(LEFT(UPPER(K469),4)="REV-","REV-"&amp;VALUE(MID(K469,5,99)),IF(LEN(K469)=5,LEFT(K469,2)&amp;"."&amp;RIGHT(K469,3),K469)),verfvoorraad!E:E,verfvoorraad!B:B),"Niet gevonden")))</f>
        <v/>
      </c>
      <c r="M469" t="str">
        <f>IF(K469="","",IFERROR(_xlfn.XLOOKUP(K469,verfvoorraad!C:C,verfvoorraad!D:D),IFERROR(_xlfn.XLOOKUP(IF(LEFT(UPPER(K469),4)="REV-","REV-"&amp;VALUE(MID(K469,5,99)),IF(LEN(K469)=5,LEFT(K469,2)&amp;"."&amp;RIGHT(K469,3),K469)),verfvoorraad!E:E,verfvoorraad!D:D),"Niet gevonden")))</f>
        <v/>
      </c>
      <c r="N469" t="str">
        <f>IF(K469="","",IFERROR(_xlfn.XLOOKUP(K469,verfvoorraad!C:C,verfvoorraad!E:E),IFERROR(_xlfn.XLOOKUP(IF(LEFT(UPPER(K469),4)="REV-","REV-"&amp;VALUE(MID(K469,5,99)),IF(LEN(K469)=5,LEFT(K469,2)&amp;"."&amp;RIGHT(K469,3),K469)),verfvoorraad!E:E,verfvoorraad!E:E),"Niet gevonden")))</f>
        <v/>
      </c>
      <c r="O469" t="str">
        <f>IF(K469="","",IFERROR(_xlfn.XLOOKUP(K469,verfvoorraad!C:C,verfvoorraad!F:F),IFERROR(_xlfn.XLOOKUP(IF(LEFT(UPPER(K469),4)="REV-","REV-"&amp;VALUE(MID(K469,5,99)),IF(LEN(K469)=5,LEFT(K469,2)&amp;"."&amp;RIGHT(K469,3),K469)),verfvoorraad!E:E,verfvoorraad!F:F),"Niet gevonden")))</f>
        <v/>
      </c>
      <c r="P469" t="str">
        <f>IF(K469="","",IFERROR(_xlfn.XLOOKUP(K469,verfvoorraad!C:C,verfvoorraad!G:G),IFERROR(_xlfn.XLOOKUP(IF(LEFT(UPPER(K469),4)="REV-","REV-"&amp;VALUE(MID(K469,5,99)),IF(LEN(K469)=5,LEFT(K469,2)&amp;"."&amp;RIGHT(K469,3),K469)),verfvoorraad!E:E,verfvoorraad!G:G),"Niet gevonden")))</f>
        <v/>
      </c>
      <c r="Q469" t="str">
        <f t="shared" ref="Q469:Q500" si="14">IF(K469="","",IF(O469="Ja","Nee",IF(O469="Nee","Ja",IF(O469="Niet gevonden","Niet gevonden",""))))</f>
        <v/>
      </c>
      <c r="R469" t="str">
        <f t="shared" ref="R469:R500" si="15">IF(Q469="Ja","Toevoegen","")</f>
        <v/>
      </c>
    </row>
    <row r="470" spans="6:18" x14ac:dyDescent="0.25">
      <c r="F470"/>
      <c r="G470" s="20"/>
      <c r="H470" s="21"/>
      <c r="K470" s="23"/>
      <c r="L470" t="str">
        <f>IF(K470="","",IFERROR(_xlfn.XLOOKUP(K470,verfvoorraad!C:C,verfvoorraad!B:B),IFERROR(_xlfn.XLOOKUP(IF(LEFT(UPPER(K470),4)="REV-","REV-"&amp;VALUE(MID(K470,5,99)),IF(LEN(K470)=5,LEFT(K470,2)&amp;"."&amp;RIGHT(K470,3),K470)),verfvoorraad!E:E,verfvoorraad!B:B),"Niet gevonden")))</f>
        <v/>
      </c>
      <c r="M470" t="str">
        <f>IF(K470="","",IFERROR(_xlfn.XLOOKUP(K470,verfvoorraad!C:C,verfvoorraad!D:D),IFERROR(_xlfn.XLOOKUP(IF(LEFT(UPPER(K470),4)="REV-","REV-"&amp;VALUE(MID(K470,5,99)),IF(LEN(K470)=5,LEFT(K470,2)&amp;"."&amp;RIGHT(K470,3),K470)),verfvoorraad!E:E,verfvoorraad!D:D),"Niet gevonden")))</f>
        <v/>
      </c>
      <c r="N470" t="str">
        <f>IF(K470="","",IFERROR(_xlfn.XLOOKUP(K470,verfvoorraad!C:C,verfvoorraad!E:E),IFERROR(_xlfn.XLOOKUP(IF(LEFT(UPPER(K470),4)="REV-","REV-"&amp;VALUE(MID(K470,5,99)),IF(LEN(K470)=5,LEFT(K470,2)&amp;"."&amp;RIGHT(K470,3),K470)),verfvoorraad!E:E,verfvoorraad!E:E),"Niet gevonden")))</f>
        <v/>
      </c>
      <c r="O470" t="str">
        <f>IF(K470="","",IFERROR(_xlfn.XLOOKUP(K470,verfvoorraad!C:C,verfvoorraad!F:F),IFERROR(_xlfn.XLOOKUP(IF(LEFT(UPPER(K470),4)="REV-","REV-"&amp;VALUE(MID(K470,5,99)),IF(LEN(K470)=5,LEFT(K470,2)&amp;"."&amp;RIGHT(K470,3),K470)),verfvoorraad!E:E,verfvoorraad!F:F),"Niet gevonden")))</f>
        <v/>
      </c>
      <c r="P470" t="str">
        <f>IF(K470="","",IFERROR(_xlfn.XLOOKUP(K470,verfvoorraad!C:C,verfvoorraad!G:G),IFERROR(_xlfn.XLOOKUP(IF(LEFT(UPPER(K470),4)="REV-","REV-"&amp;VALUE(MID(K470,5,99)),IF(LEN(K470)=5,LEFT(K470,2)&amp;"."&amp;RIGHT(K470,3),K470)),verfvoorraad!E:E,verfvoorraad!G:G),"Niet gevonden")))</f>
        <v/>
      </c>
      <c r="Q470" t="str">
        <f t="shared" si="14"/>
        <v/>
      </c>
      <c r="R470" t="str">
        <f t="shared" si="15"/>
        <v/>
      </c>
    </row>
    <row r="471" spans="6:18" x14ac:dyDescent="0.25">
      <c r="F471"/>
      <c r="G471" s="20"/>
      <c r="H471" s="21"/>
      <c r="K471" s="23"/>
      <c r="L471" t="str">
        <f>IF(K471="","",IFERROR(_xlfn.XLOOKUP(K471,verfvoorraad!C:C,verfvoorraad!B:B),IFERROR(_xlfn.XLOOKUP(IF(LEFT(UPPER(K471),4)="REV-","REV-"&amp;VALUE(MID(K471,5,99)),IF(LEN(K471)=5,LEFT(K471,2)&amp;"."&amp;RIGHT(K471,3),K471)),verfvoorraad!E:E,verfvoorraad!B:B),"Niet gevonden")))</f>
        <v/>
      </c>
      <c r="M471" t="str">
        <f>IF(K471="","",IFERROR(_xlfn.XLOOKUP(K471,verfvoorraad!C:C,verfvoorraad!D:D),IFERROR(_xlfn.XLOOKUP(IF(LEFT(UPPER(K471),4)="REV-","REV-"&amp;VALUE(MID(K471,5,99)),IF(LEN(K471)=5,LEFT(K471,2)&amp;"."&amp;RIGHT(K471,3),K471)),verfvoorraad!E:E,verfvoorraad!D:D),"Niet gevonden")))</f>
        <v/>
      </c>
      <c r="N471" t="str">
        <f>IF(K471="","",IFERROR(_xlfn.XLOOKUP(K471,verfvoorraad!C:C,verfvoorraad!E:E),IFERROR(_xlfn.XLOOKUP(IF(LEFT(UPPER(K471),4)="REV-","REV-"&amp;VALUE(MID(K471,5,99)),IF(LEN(K471)=5,LEFT(K471,2)&amp;"."&amp;RIGHT(K471,3),K471)),verfvoorraad!E:E,verfvoorraad!E:E),"Niet gevonden")))</f>
        <v/>
      </c>
      <c r="O471" t="str">
        <f>IF(K471="","",IFERROR(_xlfn.XLOOKUP(K471,verfvoorraad!C:C,verfvoorraad!F:F),IFERROR(_xlfn.XLOOKUP(IF(LEFT(UPPER(K471),4)="REV-","REV-"&amp;VALUE(MID(K471,5,99)),IF(LEN(K471)=5,LEFT(K471,2)&amp;"."&amp;RIGHT(K471,3),K471)),verfvoorraad!E:E,verfvoorraad!F:F),"Niet gevonden")))</f>
        <v/>
      </c>
      <c r="P471" t="str">
        <f>IF(K471="","",IFERROR(_xlfn.XLOOKUP(K471,verfvoorraad!C:C,verfvoorraad!G:G),IFERROR(_xlfn.XLOOKUP(IF(LEFT(UPPER(K471),4)="REV-","REV-"&amp;VALUE(MID(K471,5,99)),IF(LEN(K471)=5,LEFT(K471,2)&amp;"."&amp;RIGHT(K471,3),K471)),verfvoorraad!E:E,verfvoorraad!G:G),"Niet gevonden")))</f>
        <v/>
      </c>
      <c r="Q471" t="str">
        <f t="shared" si="14"/>
        <v/>
      </c>
      <c r="R471" t="str">
        <f t="shared" si="15"/>
        <v/>
      </c>
    </row>
    <row r="472" spans="6:18" x14ac:dyDescent="0.25">
      <c r="F472"/>
      <c r="G472" s="20"/>
      <c r="H472" s="21"/>
      <c r="K472" s="23"/>
      <c r="L472" t="str">
        <f>IF(K472="","",IFERROR(_xlfn.XLOOKUP(K472,verfvoorraad!C:C,verfvoorraad!B:B),IFERROR(_xlfn.XLOOKUP(IF(LEFT(UPPER(K472),4)="REV-","REV-"&amp;VALUE(MID(K472,5,99)),IF(LEN(K472)=5,LEFT(K472,2)&amp;"."&amp;RIGHT(K472,3),K472)),verfvoorraad!E:E,verfvoorraad!B:B),"Niet gevonden")))</f>
        <v/>
      </c>
      <c r="M472" t="str">
        <f>IF(K472="","",IFERROR(_xlfn.XLOOKUP(K472,verfvoorraad!C:C,verfvoorraad!D:D),IFERROR(_xlfn.XLOOKUP(IF(LEFT(UPPER(K472),4)="REV-","REV-"&amp;VALUE(MID(K472,5,99)),IF(LEN(K472)=5,LEFT(K472,2)&amp;"."&amp;RIGHT(K472,3),K472)),verfvoorraad!E:E,verfvoorraad!D:D),"Niet gevonden")))</f>
        <v/>
      </c>
      <c r="N472" t="str">
        <f>IF(K472="","",IFERROR(_xlfn.XLOOKUP(K472,verfvoorraad!C:C,verfvoorraad!E:E),IFERROR(_xlfn.XLOOKUP(IF(LEFT(UPPER(K472),4)="REV-","REV-"&amp;VALUE(MID(K472,5,99)),IF(LEN(K472)=5,LEFT(K472,2)&amp;"."&amp;RIGHT(K472,3),K472)),verfvoorraad!E:E,verfvoorraad!E:E),"Niet gevonden")))</f>
        <v/>
      </c>
      <c r="O472" t="str">
        <f>IF(K472="","",IFERROR(_xlfn.XLOOKUP(K472,verfvoorraad!C:C,verfvoorraad!F:F),IFERROR(_xlfn.XLOOKUP(IF(LEFT(UPPER(K472),4)="REV-","REV-"&amp;VALUE(MID(K472,5,99)),IF(LEN(K472)=5,LEFT(K472,2)&amp;"."&amp;RIGHT(K472,3),K472)),verfvoorraad!E:E,verfvoorraad!F:F),"Niet gevonden")))</f>
        <v/>
      </c>
      <c r="P472" t="str">
        <f>IF(K472="","",IFERROR(_xlfn.XLOOKUP(K472,verfvoorraad!C:C,verfvoorraad!G:G),IFERROR(_xlfn.XLOOKUP(IF(LEFT(UPPER(K472),4)="REV-","REV-"&amp;VALUE(MID(K472,5,99)),IF(LEN(K472)=5,LEFT(K472,2)&amp;"."&amp;RIGHT(K472,3),K472)),verfvoorraad!E:E,verfvoorraad!G:G),"Niet gevonden")))</f>
        <v/>
      </c>
      <c r="Q472" t="str">
        <f t="shared" si="14"/>
        <v/>
      </c>
      <c r="R472" t="str">
        <f t="shared" si="15"/>
        <v/>
      </c>
    </row>
    <row r="473" spans="6:18" x14ac:dyDescent="0.25">
      <c r="F473"/>
      <c r="G473" s="20"/>
      <c r="H473" s="21"/>
      <c r="K473" s="23"/>
      <c r="L473" t="str">
        <f>IF(K473="","",IFERROR(_xlfn.XLOOKUP(K473,verfvoorraad!C:C,verfvoorraad!B:B),IFERROR(_xlfn.XLOOKUP(IF(LEFT(UPPER(K473),4)="REV-","REV-"&amp;VALUE(MID(K473,5,99)),IF(LEN(K473)=5,LEFT(K473,2)&amp;"."&amp;RIGHT(K473,3),K473)),verfvoorraad!E:E,verfvoorraad!B:B),"Niet gevonden")))</f>
        <v/>
      </c>
      <c r="M473" t="str">
        <f>IF(K473="","",IFERROR(_xlfn.XLOOKUP(K473,verfvoorraad!C:C,verfvoorraad!D:D),IFERROR(_xlfn.XLOOKUP(IF(LEFT(UPPER(K473),4)="REV-","REV-"&amp;VALUE(MID(K473,5,99)),IF(LEN(K473)=5,LEFT(K473,2)&amp;"."&amp;RIGHT(K473,3),K473)),verfvoorraad!E:E,verfvoorraad!D:D),"Niet gevonden")))</f>
        <v/>
      </c>
      <c r="N473" t="str">
        <f>IF(K473="","",IFERROR(_xlfn.XLOOKUP(K473,verfvoorraad!C:C,verfvoorraad!E:E),IFERROR(_xlfn.XLOOKUP(IF(LEFT(UPPER(K473),4)="REV-","REV-"&amp;VALUE(MID(K473,5,99)),IF(LEN(K473)=5,LEFT(K473,2)&amp;"."&amp;RIGHT(K473,3),K473)),verfvoorraad!E:E,verfvoorraad!E:E),"Niet gevonden")))</f>
        <v/>
      </c>
      <c r="O473" t="str">
        <f>IF(K473="","",IFERROR(_xlfn.XLOOKUP(K473,verfvoorraad!C:C,verfvoorraad!F:F),IFERROR(_xlfn.XLOOKUP(IF(LEFT(UPPER(K473),4)="REV-","REV-"&amp;VALUE(MID(K473,5,99)),IF(LEN(K473)=5,LEFT(K473,2)&amp;"."&amp;RIGHT(K473,3),K473)),verfvoorraad!E:E,verfvoorraad!F:F),"Niet gevonden")))</f>
        <v/>
      </c>
      <c r="P473" t="str">
        <f>IF(K473="","",IFERROR(_xlfn.XLOOKUP(K473,verfvoorraad!C:C,verfvoorraad!G:G),IFERROR(_xlfn.XLOOKUP(IF(LEFT(UPPER(K473),4)="REV-","REV-"&amp;VALUE(MID(K473,5,99)),IF(LEN(K473)=5,LEFT(K473,2)&amp;"."&amp;RIGHT(K473,3),K473)),verfvoorraad!E:E,verfvoorraad!G:G),"Niet gevonden")))</f>
        <v/>
      </c>
      <c r="Q473" t="str">
        <f t="shared" si="14"/>
        <v/>
      </c>
      <c r="R473" t="str">
        <f t="shared" si="15"/>
        <v/>
      </c>
    </row>
    <row r="474" spans="6:18" x14ac:dyDescent="0.25">
      <c r="F474"/>
      <c r="G474" s="20"/>
      <c r="H474" s="21"/>
      <c r="K474" s="23"/>
      <c r="L474" t="str">
        <f>IF(K474="","",IFERROR(_xlfn.XLOOKUP(K474,verfvoorraad!C:C,verfvoorraad!B:B),IFERROR(_xlfn.XLOOKUP(IF(LEFT(UPPER(K474),4)="REV-","REV-"&amp;VALUE(MID(K474,5,99)),IF(LEN(K474)=5,LEFT(K474,2)&amp;"."&amp;RIGHT(K474,3),K474)),verfvoorraad!E:E,verfvoorraad!B:B),"Niet gevonden")))</f>
        <v/>
      </c>
      <c r="M474" t="str">
        <f>IF(K474="","",IFERROR(_xlfn.XLOOKUP(K474,verfvoorraad!C:C,verfvoorraad!D:D),IFERROR(_xlfn.XLOOKUP(IF(LEFT(UPPER(K474),4)="REV-","REV-"&amp;VALUE(MID(K474,5,99)),IF(LEN(K474)=5,LEFT(K474,2)&amp;"."&amp;RIGHT(K474,3),K474)),verfvoorraad!E:E,verfvoorraad!D:D),"Niet gevonden")))</f>
        <v/>
      </c>
      <c r="N474" t="str">
        <f>IF(K474="","",IFERROR(_xlfn.XLOOKUP(K474,verfvoorraad!C:C,verfvoorraad!E:E),IFERROR(_xlfn.XLOOKUP(IF(LEFT(UPPER(K474),4)="REV-","REV-"&amp;VALUE(MID(K474,5,99)),IF(LEN(K474)=5,LEFT(K474,2)&amp;"."&amp;RIGHT(K474,3),K474)),verfvoorraad!E:E,verfvoorraad!E:E),"Niet gevonden")))</f>
        <v/>
      </c>
      <c r="O474" t="str">
        <f>IF(K474="","",IFERROR(_xlfn.XLOOKUP(K474,verfvoorraad!C:C,verfvoorraad!F:F),IFERROR(_xlfn.XLOOKUP(IF(LEFT(UPPER(K474),4)="REV-","REV-"&amp;VALUE(MID(K474,5,99)),IF(LEN(K474)=5,LEFT(K474,2)&amp;"."&amp;RIGHT(K474,3),K474)),verfvoorraad!E:E,verfvoorraad!F:F),"Niet gevonden")))</f>
        <v/>
      </c>
      <c r="P474" t="str">
        <f>IF(K474="","",IFERROR(_xlfn.XLOOKUP(K474,verfvoorraad!C:C,verfvoorraad!G:G),IFERROR(_xlfn.XLOOKUP(IF(LEFT(UPPER(K474),4)="REV-","REV-"&amp;VALUE(MID(K474,5,99)),IF(LEN(K474)=5,LEFT(K474,2)&amp;"."&amp;RIGHT(K474,3),K474)),verfvoorraad!E:E,verfvoorraad!G:G),"Niet gevonden")))</f>
        <v/>
      </c>
      <c r="Q474" t="str">
        <f t="shared" si="14"/>
        <v/>
      </c>
      <c r="R474" t="str">
        <f t="shared" si="15"/>
        <v/>
      </c>
    </row>
    <row r="475" spans="6:18" x14ac:dyDescent="0.25">
      <c r="F475"/>
      <c r="G475" s="20"/>
      <c r="H475" s="21"/>
      <c r="K475" s="23"/>
      <c r="L475" t="str">
        <f>IF(K475="","",IFERROR(_xlfn.XLOOKUP(K475,verfvoorraad!C:C,verfvoorraad!B:B),IFERROR(_xlfn.XLOOKUP(IF(LEFT(UPPER(K475),4)="REV-","REV-"&amp;VALUE(MID(K475,5,99)),IF(LEN(K475)=5,LEFT(K475,2)&amp;"."&amp;RIGHT(K475,3),K475)),verfvoorraad!E:E,verfvoorraad!B:B),"Niet gevonden")))</f>
        <v/>
      </c>
      <c r="M475" t="str">
        <f>IF(K475="","",IFERROR(_xlfn.XLOOKUP(K475,verfvoorraad!C:C,verfvoorraad!D:D),IFERROR(_xlfn.XLOOKUP(IF(LEFT(UPPER(K475),4)="REV-","REV-"&amp;VALUE(MID(K475,5,99)),IF(LEN(K475)=5,LEFT(K475,2)&amp;"."&amp;RIGHT(K475,3),K475)),verfvoorraad!E:E,verfvoorraad!D:D),"Niet gevonden")))</f>
        <v/>
      </c>
      <c r="N475" t="str">
        <f>IF(K475="","",IFERROR(_xlfn.XLOOKUP(K475,verfvoorraad!C:C,verfvoorraad!E:E),IFERROR(_xlfn.XLOOKUP(IF(LEFT(UPPER(K475),4)="REV-","REV-"&amp;VALUE(MID(K475,5,99)),IF(LEN(K475)=5,LEFT(K475,2)&amp;"."&amp;RIGHT(K475,3),K475)),verfvoorraad!E:E,verfvoorraad!E:E),"Niet gevonden")))</f>
        <v/>
      </c>
      <c r="O475" t="str">
        <f>IF(K475="","",IFERROR(_xlfn.XLOOKUP(K475,verfvoorraad!C:C,verfvoorraad!F:F),IFERROR(_xlfn.XLOOKUP(IF(LEFT(UPPER(K475),4)="REV-","REV-"&amp;VALUE(MID(K475,5,99)),IF(LEN(K475)=5,LEFT(K475,2)&amp;"."&amp;RIGHT(K475,3),K475)),verfvoorraad!E:E,verfvoorraad!F:F),"Niet gevonden")))</f>
        <v/>
      </c>
      <c r="P475" t="str">
        <f>IF(K475="","",IFERROR(_xlfn.XLOOKUP(K475,verfvoorraad!C:C,verfvoorraad!G:G),IFERROR(_xlfn.XLOOKUP(IF(LEFT(UPPER(K475),4)="REV-","REV-"&amp;VALUE(MID(K475,5,99)),IF(LEN(K475)=5,LEFT(K475,2)&amp;"."&amp;RIGHT(K475,3),K475)),verfvoorraad!E:E,verfvoorraad!G:G),"Niet gevonden")))</f>
        <v/>
      </c>
      <c r="Q475" t="str">
        <f t="shared" si="14"/>
        <v/>
      </c>
      <c r="R475" t="str">
        <f t="shared" si="15"/>
        <v/>
      </c>
    </row>
    <row r="476" spans="6:18" x14ac:dyDescent="0.25">
      <c r="F476"/>
      <c r="G476" s="20"/>
      <c r="H476" s="21"/>
      <c r="K476" s="23"/>
      <c r="L476" t="str">
        <f>IF(K476="","",IFERROR(_xlfn.XLOOKUP(K476,verfvoorraad!C:C,verfvoorraad!B:B),IFERROR(_xlfn.XLOOKUP(IF(LEFT(UPPER(K476),4)="REV-","REV-"&amp;VALUE(MID(K476,5,99)),IF(LEN(K476)=5,LEFT(K476,2)&amp;"."&amp;RIGHT(K476,3),K476)),verfvoorraad!E:E,verfvoorraad!B:B),"Niet gevonden")))</f>
        <v/>
      </c>
      <c r="M476" t="str">
        <f>IF(K476="","",IFERROR(_xlfn.XLOOKUP(K476,verfvoorraad!C:C,verfvoorraad!D:D),IFERROR(_xlfn.XLOOKUP(IF(LEFT(UPPER(K476),4)="REV-","REV-"&amp;VALUE(MID(K476,5,99)),IF(LEN(K476)=5,LEFT(K476,2)&amp;"."&amp;RIGHT(K476,3),K476)),verfvoorraad!E:E,verfvoorraad!D:D),"Niet gevonden")))</f>
        <v/>
      </c>
      <c r="N476" t="str">
        <f>IF(K476="","",IFERROR(_xlfn.XLOOKUP(K476,verfvoorraad!C:C,verfvoorraad!E:E),IFERROR(_xlfn.XLOOKUP(IF(LEFT(UPPER(K476),4)="REV-","REV-"&amp;VALUE(MID(K476,5,99)),IF(LEN(K476)=5,LEFT(K476,2)&amp;"."&amp;RIGHT(K476,3),K476)),verfvoorraad!E:E,verfvoorraad!E:E),"Niet gevonden")))</f>
        <v/>
      </c>
      <c r="O476" t="str">
        <f>IF(K476="","",IFERROR(_xlfn.XLOOKUP(K476,verfvoorraad!C:C,verfvoorraad!F:F),IFERROR(_xlfn.XLOOKUP(IF(LEFT(UPPER(K476),4)="REV-","REV-"&amp;VALUE(MID(K476,5,99)),IF(LEN(K476)=5,LEFT(K476,2)&amp;"."&amp;RIGHT(K476,3),K476)),verfvoorraad!E:E,verfvoorraad!F:F),"Niet gevonden")))</f>
        <v/>
      </c>
      <c r="P476" t="str">
        <f>IF(K476="","",IFERROR(_xlfn.XLOOKUP(K476,verfvoorraad!C:C,verfvoorraad!G:G),IFERROR(_xlfn.XLOOKUP(IF(LEFT(UPPER(K476),4)="REV-","REV-"&amp;VALUE(MID(K476,5,99)),IF(LEN(K476)=5,LEFT(K476,2)&amp;"."&amp;RIGHT(K476,3),K476)),verfvoorraad!E:E,verfvoorraad!G:G),"Niet gevonden")))</f>
        <v/>
      </c>
      <c r="Q476" t="str">
        <f t="shared" si="14"/>
        <v/>
      </c>
      <c r="R476" t="str">
        <f t="shared" si="15"/>
        <v/>
      </c>
    </row>
    <row r="477" spans="6:18" x14ac:dyDescent="0.25">
      <c r="F477"/>
      <c r="G477" s="20"/>
      <c r="H477" s="21"/>
      <c r="K477" s="23"/>
      <c r="L477" t="str">
        <f>IF(K477="","",IFERROR(_xlfn.XLOOKUP(K477,verfvoorraad!C:C,verfvoorraad!B:B),IFERROR(_xlfn.XLOOKUP(IF(LEFT(UPPER(K477),4)="REV-","REV-"&amp;VALUE(MID(K477,5,99)),IF(LEN(K477)=5,LEFT(K477,2)&amp;"."&amp;RIGHT(K477,3),K477)),verfvoorraad!E:E,verfvoorraad!B:B),"Niet gevonden")))</f>
        <v/>
      </c>
      <c r="M477" t="str">
        <f>IF(K477="","",IFERROR(_xlfn.XLOOKUP(K477,verfvoorraad!C:C,verfvoorraad!D:D),IFERROR(_xlfn.XLOOKUP(IF(LEFT(UPPER(K477),4)="REV-","REV-"&amp;VALUE(MID(K477,5,99)),IF(LEN(K477)=5,LEFT(K477,2)&amp;"."&amp;RIGHT(K477,3),K477)),verfvoorraad!E:E,verfvoorraad!D:D),"Niet gevonden")))</f>
        <v/>
      </c>
      <c r="N477" t="str">
        <f>IF(K477="","",IFERROR(_xlfn.XLOOKUP(K477,verfvoorraad!C:C,verfvoorraad!E:E),IFERROR(_xlfn.XLOOKUP(IF(LEFT(UPPER(K477),4)="REV-","REV-"&amp;VALUE(MID(K477,5,99)),IF(LEN(K477)=5,LEFT(K477,2)&amp;"."&amp;RIGHT(K477,3),K477)),verfvoorraad!E:E,verfvoorraad!E:E),"Niet gevonden")))</f>
        <v/>
      </c>
      <c r="O477" t="str">
        <f>IF(K477="","",IFERROR(_xlfn.XLOOKUP(K477,verfvoorraad!C:C,verfvoorraad!F:F),IFERROR(_xlfn.XLOOKUP(IF(LEFT(UPPER(K477),4)="REV-","REV-"&amp;VALUE(MID(K477,5,99)),IF(LEN(K477)=5,LEFT(K477,2)&amp;"."&amp;RIGHT(K477,3),K477)),verfvoorraad!E:E,verfvoorraad!F:F),"Niet gevonden")))</f>
        <v/>
      </c>
      <c r="P477" t="str">
        <f>IF(K477="","",IFERROR(_xlfn.XLOOKUP(K477,verfvoorraad!C:C,verfvoorraad!G:G),IFERROR(_xlfn.XLOOKUP(IF(LEFT(UPPER(K477),4)="REV-","REV-"&amp;VALUE(MID(K477,5,99)),IF(LEN(K477)=5,LEFT(K477,2)&amp;"."&amp;RIGHT(K477,3),K477)),verfvoorraad!E:E,verfvoorraad!G:G),"Niet gevonden")))</f>
        <v/>
      </c>
      <c r="Q477" t="str">
        <f t="shared" si="14"/>
        <v/>
      </c>
      <c r="R477" t="str">
        <f t="shared" si="15"/>
        <v/>
      </c>
    </row>
    <row r="478" spans="6:18" x14ac:dyDescent="0.25">
      <c r="F478"/>
      <c r="G478" s="20"/>
      <c r="H478" s="21"/>
      <c r="K478" s="23"/>
      <c r="L478" t="str">
        <f>IF(K478="","",IFERROR(_xlfn.XLOOKUP(K478,verfvoorraad!C:C,verfvoorraad!B:B),IFERROR(_xlfn.XLOOKUP(IF(LEFT(UPPER(K478),4)="REV-","REV-"&amp;VALUE(MID(K478,5,99)),IF(LEN(K478)=5,LEFT(K478,2)&amp;"."&amp;RIGHT(K478,3),K478)),verfvoorraad!E:E,verfvoorraad!B:B),"Niet gevonden")))</f>
        <v/>
      </c>
      <c r="M478" t="str">
        <f>IF(K478="","",IFERROR(_xlfn.XLOOKUP(K478,verfvoorraad!C:C,verfvoorraad!D:D),IFERROR(_xlfn.XLOOKUP(IF(LEFT(UPPER(K478),4)="REV-","REV-"&amp;VALUE(MID(K478,5,99)),IF(LEN(K478)=5,LEFT(K478,2)&amp;"."&amp;RIGHT(K478,3),K478)),verfvoorraad!E:E,verfvoorraad!D:D),"Niet gevonden")))</f>
        <v/>
      </c>
      <c r="N478" t="str">
        <f>IF(K478="","",IFERROR(_xlfn.XLOOKUP(K478,verfvoorraad!C:C,verfvoorraad!E:E),IFERROR(_xlfn.XLOOKUP(IF(LEFT(UPPER(K478),4)="REV-","REV-"&amp;VALUE(MID(K478,5,99)),IF(LEN(K478)=5,LEFT(K478,2)&amp;"."&amp;RIGHT(K478,3),K478)),verfvoorraad!E:E,verfvoorraad!E:E),"Niet gevonden")))</f>
        <v/>
      </c>
      <c r="O478" t="str">
        <f>IF(K478="","",IFERROR(_xlfn.XLOOKUP(K478,verfvoorraad!C:C,verfvoorraad!F:F),IFERROR(_xlfn.XLOOKUP(IF(LEFT(UPPER(K478),4)="REV-","REV-"&amp;VALUE(MID(K478,5,99)),IF(LEN(K478)=5,LEFT(K478,2)&amp;"."&amp;RIGHT(K478,3),K478)),verfvoorraad!E:E,verfvoorraad!F:F),"Niet gevonden")))</f>
        <v/>
      </c>
      <c r="P478" t="str">
        <f>IF(K478="","",IFERROR(_xlfn.XLOOKUP(K478,verfvoorraad!C:C,verfvoorraad!G:G),IFERROR(_xlfn.XLOOKUP(IF(LEFT(UPPER(K478),4)="REV-","REV-"&amp;VALUE(MID(K478,5,99)),IF(LEN(K478)=5,LEFT(K478,2)&amp;"."&amp;RIGHT(K478,3),K478)),verfvoorraad!E:E,verfvoorraad!G:G),"Niet gevonden")))</f>
        <v/>
      </c>
      <c r="Q478" t="str">
        <f t="shared" si="14"/>
        <v/>
      </c>
      <c r="R478" t="str">
        <f t="shared" si="15"/>
        <v/>
      </c>
    </row>
    <row r="479" spans="6:18" x14ac:dyDescent="0.25">
      <c r="F479"/>
      <c r="G479" s="20"/>
      <c r="H479" s="21"/>
      <c r="K479" s="23"/>
      <c r="L479" t="str">
        <f>IF(K479="","",IFERROR(_xlfn.XLOOKUP(K479,verfvoorraad!C:C,verfvoorraad!B:B),IFERROR(_xlfn.XLOOKUP(IF(LEFT(UPPER(K479),4)="REV-","REV-"&amp;VALUE(MID(K479,5,99)),IF(LEN(K479)=5,LEFT(K479,2)&amp;"."&amp;RIGHT(K479,3),K479)),verfvoorraad!E:E,verfvoorraad!B:B),"Niet gevonden")))</f>
        <v/>
      </c>
      <c r="M479" t="str">
        <f>IF(K479="","",IFERROR(_xlfn.XLOOKUP(K479,verfvoorraad!C:C,verfvoorraad!D:D),IFERROR(_xlfn.XLOOKUP(IF(LEFT(UPPER(K479),4)="REV-","REV-"&amp;VALUE(MID(K479,5,99)),IF(LEN(K479)=5,LEFT(K479,2)&amp;"."&amp;RIGHT(K479,3),K479)),verfvoorraad!E:E,verfvoorraad!D:D),"Niet gevonden")))</f>
        <v/>
      </c>
      <c r="N479" t="str">
        <f>IF(K479="","",IFERROR(_xlfn.XLOOKUP(K479,verfvoorraad!C:C,verfvoorraad!E:E),IFERROR(_xlfn.XLOOKUP(IF(LEFT(UPPER(K479),4)="REV-","REV-"&amp;VALUE(MID(K479,5,99)),IF(LEN(K479)=5,LEFT(K479,2)&amp;"."&amp;RIGHT(K479,3),K479)),verfvoorraad!E:E,verfvoorraad!E:E),"Niet gevonden")))</f>
        <v/>
      </c>
      <c r="O479" t="str">
        <f>IF(K479="","",IFERROR(_xlfn.XLOOKUP(K479,verfvoorraad!C:C,verfvoorraad!F:F),IFERROR(_xlfn.XLOOKUP(IF(LEFT(UPPER(K479),4)="REV-","REV-"&amp;VALUE(MID(K479,5,99)),IF(LEN(K479)=5,LEFT(K479,2)&amp;"."&amp;RIGHT(K479,3),K479)),verfvoorraad!E:E,verfvoorraad!F:F),"Niet gevonden")))</f>
        <v/>
      </c>
      <c r="P479" t="str">
        <f>IF(K479="","",IFERROR(_xlfn.XLOOKUP(K479,verfvoorraad!C:C,verfvoorraad!G:G),IFERROR(_xlfn.XLOOKUP(IF(LEFT(UPPER(K479),4)="REV-","REV-"&amp;VALUE(MID(K479,5,99)),IF(LEN(K479)=5,LEFT(K479,2)&amp;"."&amp;RIGHT(K479,3),K479)),verfvoorraad!E:E,verfvoorraad!G:G),"Niet gevonden")))</f>
        <v/>
      </c>
      <c r="Q479" t="str">
        <f t="shared" si="14"/>
        <v/>
      </c>
      <c r="R479" t="str">
        <f t="shared" si="15"/>
        <v/>
      </c>
    </row>
    <row r="480" spans="6:18" x14ac:dyDescent="0.25">
      <c r="F480"/>
      <c r="G480" s="20"/>
      <c r="H480" s="21"/>
      <c r="K480" s="23"/>
      <c r="L480" t="str">
        <f>IF(K480="","",IFERROR(_xlfn.XLOOKUP(K480,verfvoorraad!C:C,verfvoorraad!B:B),IFERROR(_xlfn.XLOOKUP(IF(LEFT(UPPER(K480),4)="REV-","REV-"&amp;VALUE(MID(K480,5,99)),IF(LEN(K480)=5,LEFT(K480,2)&amp;"."&amp;RIGHT(K480,3),K480)),verfvoorraad!E:E,verfvoorraad!B:B),"Niet gevonden")))</f>
        <v/>
      </c>
      <c r="M480" t="str">
        <f>IF(K480="","",IFERROR(_xlfn.XLOOKUP(K480,verfvoorraad!C:C,verfvoorraad!D:D),IFERROR(_xlfn.XLOOKUP(IF(LEFT(UPPER(K480),4)="REV-","REV-"&amp;VALUE(MID(K480,5,99)),IF(LEN(K480)=5,LEFT(K480,2)&amp;"."&amp;RIGHT(K480,3),K480)),verfvoorraad!E:E,verfvoorraad!D:D),"Niet gevonden")))</f>
        <v/>
      </c>
      <c r="N480" t="str">
        <f>IF(K480="","",IFERROR(_xlfn.XLOOKUP(K480,verfvoorraad!C:C,verfvoorraad!E:E),IFERROR(_xlfn.XLOOKUP(IF(LEFT(UPPER(K480),4)="REV-","REV-"&amp;VALUE(MID(K480,5,99)),IF(LEN(K480)=5,LEFT(K480,2)&amp;"."&amp;RIGHT(K480,3),K480)),verfvoorraad!E:E,verfvoorraad!E:E),"Niet gevonden")))</f>
        <v/>
      </c>
      <c r="O480" t="str">
        <f>IF(K480="","",IFERROR(_xlfn.XLOOKUP(K480,verfvoorraad!C:C,verfvoorraad!F:F),IFERROR(_xlfn.XLOOKUP(IF(LEFT(UPPER(K480),4)="REV-","REV-"&amp;VALUE(MID(K480,5,99)),IF(LEN(K480)=5,LEFT(K480,2)&amp;"."&amp;RIGHT(K480,3),K480)),verfvoorraad!E:E,verfvoorraad!F:F),"Niet gevonden")))</f>
        <v/>
      </c>
      <c r="P480" t="str">
        <f>IF(K480="","",IFERROR(_xlfn.XLOOKUP(K480,verfvoorraad!C:C,verfvoorraad!G:G),IFERROR(_xlfn.XLOOKUP(IF(LEFT(UPPER(K480),4)="REV-","REV-"&amp;VALUE(MID(K480,5,99)),IF(LEN(K480)=5,LEFT(K480,2)&amp;"."&amp;RIGHT(K480,3),K480)),verfvoorraad!E:E,verfvoorraad!G:G),"Niet gevonden")))</f>
        <v/>
      </c>
      <c r="Q480" t="str">
        <f t="shared" si="14"/>
        <v/>
      </c>
      <c r="R480" t="str">
        <f t="shared" si="15"/>
        <v/>
      </c>
    </row>
    <row r="481" spans="6:18" x14ac:dyDescent="0.25">
      <c r="F481"/>
      <c r="G481" s="20"/>
      <c r="H481" s="21"/>
      <c r="K481" s="23"/>
      <c r="L481" t="str">
        <f>IF(K481="","",IFERROR(_xlfn.XLOOKUP(K481,verfvoorraad!C:C,verfvoorraad!B:B),IFERROR(_xlfn.XLOOKUP(IF(LEFT(UPPER(K481),4)="REV-","REV-"&amp;VALUE(MID(K481,5,99)),IF(LEN(K481)=5,LEFT(K481,2)&amp;"."&amp;RIGHT(K481,3),K481)),verfvoorraad!E:E,verfvoorraad!B:B),"Niet gevonden")))</f>
        <v/>
      </c>
      <c r="M481" t="str">
        <f>IF(K481="","",IFERROR(_xlfn.XLOOKUP(K481,verfvoorraad!C:C,verfvoorraad!D:D),IFERROR(_xlfn.XLOOKUP(IF(LEFT(UPPER(K481),4)="REV-","REV-"&amp;VALUE(MID(K481,5,99)),IF(LEN(K481)=5,LEFT(K481,2)&amp;"."&amp;RIGHT(K481,3),K481)),verfvoorraad!E:E,verfvoorraad!D:D),"Niet gevonden")))</f>
        <v/>
      </c>
      <c r="N481" t="str">
        <f>IF(K481="","",IFERROR(_xlfn.XLOOKUP(K481,verfvoorraad!C:C,verfvoorraad!E:E),IFERROR(_xlfn.XLOOKUP(IF(LEFT(UPPER(K481),4)="REV-","REV-"&amp;VALUE(MID(K481,5,99)),IF(LEN(K481)=5,LEFT(K481,2)&amp;"."&amp;RIGHT(K481,3),K481)),verfvoorraad!E:E,verfvoorraad!E:E),"Niet gevonden")))</f>
        <v/>
      </c>
      <c r="O481" t="str">
        <f>IF(K481="","",IFERROR(_xlfn.XLOOKUP(K481,verfvoorraad!C:C,verfvoorraad!F:F),IFERROR(_xlfn.XLOOKUP(IF(LEFT(UPPER(K481),4)="REV-","REV-"&amp;VALUE(MID(K481,5,99)),IF(LEN(K481)=5,LEFT(K481,2)&amp;"."&amp;RIGHT(K481,3),K481)),verfvoorraad!E:E,verfvoorraad!F:F),"Niet gevonden")))</f>
        <v/>
      </c>
      <c r="P481" t="str">
        <f>IF(K481="","",IFERROR(_xlfn.XLOOKUP(K481,verfvoorraad!C:C,verfvoorraad!G:G),IFERROR(_xlfn.XLOOKUP(IF(LEFT(UPPER(K481),4)="REV-","REV-"&amp;VALUE(MID(K481,5,99)),IF(LEN(K481)=5,LEFT(K481,2)&amp;"."&amp;RIGHT(K481,3),K481)),verfvoorraad!E:E,verfvoorraad!G:G),"Niet gevonden")))</f>
        <v/>
      </c>
      <c r="Q481" t="str">
        <f t="shared" si="14"/>
        <v/>
      </c>
      <c r="R481" t="str">
        <f t="shared" si="15"/>
        <v/>
      </c>
    </row>
    <row r="482" spans="6:18" x14ac:dyDescent="0.25">
      <c r="F482"/>
      <c r="G482" s="20"/>
      <c r="H482" s="21"/>
      <c r="K482" s="23"/>
      <c r="L482" t="str">
        <f>IF(K482="","",IFERROR(_xlfn.XLOOKUP(K482,verfvoorraad!C:C,verfvoorraad!B:B),IFERROR(_xlfn.XLOOKUP(IF(LEFT(UPPER(K482),4)="REV-","REV-"&amp;VALUE(MID(K482,5,99)),IF(LEN(K482)=5,LEFT(K482,2)&amp;"."&amp;RIGHT(K482,3),K482)),verfvoorraad!E:E,verfvoorraad!B:B),"Niet gevonden")))</f>
        <v/>
      </c>
      <c r="M482" t="str">
        <f>IF(K482="","",IFERROR(_xlfn.XLOOKUP(K482,verfvoorraad!C:C,verfvoorraad!D:D),IFERROR(_xlfn.XLOOKUP(IF(LEFT(UPPER(K482),4)="REV-","REV-"&amp;VALUE(MID(K482,5,99)),IF(LEN(K482)=5,LEFT(K482,2)&amp;"."&amp;RIGHT(K482,3),K482)),verfvoorraad!E:E,verfvoorraad!D:D),"Niet gevonden")))</f>
        <v/>
      </c>
      <c r="N482" t="str">
        <f>IF(K482="","",IFERROR(_xlfn.XLOOKUP(K482,verfvoorraad!C:C,verfvoorraad!E:E),IFERROR(_xlfn.XLOOKUP(IF(LEFT(UPPER(K482),4)="REV-","REV-"&amp;VALUE(MID(K482,5,99)),IF(LEN(K482)=5,LEFT(K482,2)&amp;"."&amp;RIGHT(K482,3),K482)),verfvoorraad!E:E,verfvoorraad!E:E),"Niet gevonden")))</f>
        <v/>
      </c>
      <c r="O482" t="str">
        <f>IF(K482="","",IFERROR(_xlfn.XLOOKUP(K482,verfvoorraad!C:C,verfvoorraad!F:F),IFERROR(_xlfn.XLOOKUP(IF(LEFT(UPPER(K482),4)="REV-","REV-"&amp;VALUE(MID(K482,5,99)),IF(LEN(K482)=5,LEFT(K482,2)&amp;"."&amp;RIGHT(K482,3),K482)),verfvoorraad!E:E,verfvoorraad!F:F),"Niet gevonden")))</f>
        <v/>
      </c>
      <c r="P482" t="str">
        <f>IF(K482="","",IFERROR(_xlfn.XLOOKUP(K482,verfvoorraad!C:C,verfvoorraad!G:G),IFERROR(_xlfn.XLOOKUP(IF(LEFT(UPPER(K482),4)="REV-","REV-"&amp;VALUE(MID(K482,5,99)),IF(LEN(K482)=5,LEFT(K482,2)&amp;"."&amp;RIGHT(K482,3),K482)),verfvoorraad!E:E,verfvoorraad!G:G),"Niet gevonden")))</f>
        <v/>
      </c>
      <c r="Q482" t="str">
        <f t="shared" si="14"/>
        <v/>
      </c>
      <c r="R482" t="str">
        <f t="shared" si="15"/>
        <v/>
      </c>
    </row>
    <row r="483" spans="6:18" x14ac:dyDescent="0.25">
      <c r="F483"/>
      <c r="G483" s="20"/>
      <c r="H483" s="21"/>
      <c r="K483" s="23"/>
      <c r="L483" t="str">
        <f>IF(K483="","",IFERROR(_xlfn.XLOOKUP(K483,verfvoorraad!C:C,verfvoorraad!B:B),IFERROR(_xlfn.XLOOKUP(IF(LEFT(UPPER(K483),4)="REV-","REV-"&amp;VALUE(MID(K483,5,99)),IF(LEN(K483)=5,LEFT(K483,2)&amp;"."&amp;RIGHT(K483,3),K483)),verfvoorraad!E:E,verfvoorraad!B:B),"Niet gevonden")))</f>
        <v/>
      </c>
      <c r="M483" t="str">
        <f>IF(K483="","",IFERROR(_xlfn.XLOOKUP(K483,verfvoorraad!C:C,verfvoorraad!D:D),IFERROR(_xlfn.XLOOKUP(IF(LEFT(UPPER(K483),4)="REV-","REV-"&amp;VALUE(MID(K483,5,99)),IF(LEN(K483)=5,LEFT(K483,2)&amp;"."&amp;RIGHT(K483,3),K483)),verfvoorraad!E:E,verfvoorraad!D:D),"Niet gevonden")))</f>
        <v/>
      </c>
      <c r="N483" t="str">
        <f>IF(K483="","",IFERROR(_xlfn.XLOOKUP(K483,verfvoorraad!C:C,verfvoorraad!E:E),IFERROR(_xlfn.XLOOKUP(IF(LEFT(UPPER(K483),4)="REV-","REV-"&amp;VALUE(MID(K483,5,99)),IF(LEN(K483)=5,LEFT(K483,2)&amp;"."&amp;RIGHT(K483,3),K483)),verfvoorraad!E:E,verfvoorraad!E:E),"Niet gevonden")))</f>
        <v/>
      </c>
      <c r="O483" t="str">
        <f>IF(K483="","",IFERROR(_xlfn.XLOOKUP(K483,verfvoorraad!C:C,verfvoorraad!F:F),IFERROR(_xlfn.XLOOKUP(IF(LEFT(UPPER(K483),4)="REV-","REV-"&amp;VALUE(MID(K483,5,99)),IF(LEN(K483)=5,LEFT(K483,2)&amp;"."&amp;RIGHT(K483,3),K483)),verfvoorraad!E:E,verfvoorraad!F:F),"Niet gevonden")))</f>
        <v/>
      </c>
      <c r="P483" t="str">
        <f>IF(K483="","",IFERROR(_xlfn.XLOOKUP(K483,verfvoorraad!C:C,verfvoorraad!G:G),IFERROR(_xlfn.XLOOKUP(IF(LEFT(UPPER(K483),4)="REV-","REV-"&amp;VALUE(MID(K483,5,99)),IF(LEN(K483)=5,LEFT(K483,2)&amp;"."&amp;RIGHT(K483,3),K483)),verfvoorraad!E:E,verfvoorraad!G:G),"Niet gevonden")))</f>
        <v/>
      </c>
      <c r="Q483" t="str">
        <f t="shared" si="14"/>
        <v/>
      </c>
      <c r="R483" t="str">
        <f t="shared" si="15"/>
        <v/>
      </c>
    </row>
    <row r="484" spans="6:18" x14ac:dyDescent="0.25">
      <c r="F484"/>
      <c r="G484" s="20"/>
      <c r="H484" s="21"/>
      <c r="K484" s="23"/>
      <c r="L484" t="str">
        <f>IF(K484="","",IFERROR(_xlfn.XLOOKUP(K484,verfvoorraad!C:C,verfvoorraad!B:B),IFERROR(_xlfn.XLOOKUP(IF(LEFT(UPPER(K484),4)="REV-","REV-"&amp;VALUE(MID(K484,5,99)),IF(LEN(K484)=5,LEFT(K484,2)&amp;"."&amp;RIGHT(K484,3),K484)),verfvoorraad!E:E,verfvoorraad!B:B),"Niet gevonden")))</f>
        <v/>
      </c>
      <c r="M484" t="str">
        <f>IF(K484="","",IFERROR(_xlfn.XLOOKUP(K484,verfvoorraad!C:C,verfvoorraad!D:D),IFERROR(_xlfn.XLOOKUP(IF(LEFT(UPPER(K484),4)="REV-","REV-"&amp;VALUE(MID(K484,5,99)),IF(LEN(K484)=5,LEFT(K484,2)&amp;"."&amp;RIGHT(K484,3),K484)),verfvoorraad!E:E,verfvoorraad!D:D),"Niet gevonden")))</f>
        <v/>
      </c>
      <c r="N484" t="str">
        <f>IF(K484="","",IFERROR(_xlfn.XLOOKUP(K484,verfvoorraad!C:C,verfvoorraad!E:E),IFERROR(_xlfn.XLOOKUP(IF(LEFT(UPPER(K484),4)="REV-","REV-"&amp;VALUE(MID(K484,5,99)),IF(LEN(K484)=5,LEFT(K484,2)&amp;"."&amp;RIGHT(K484,3),K484)),verfvoorraad!E:E,verfvoorraad!E:E),"Niet gevonden")))</f>
        <v/>
      </c>
      <c r="O484" t="str">
        <f>IF(K484="","",IFERROR(_xlfn.XLOOKUP(K484,verfvoorraad!C:C,verfvoorraad!F:F),IFERROR(_xlfn.XLOOKUP(IF(LEFT(UPPER(K484),4)="REV-","REV-"&amp;VALUE(MID(K484,5,99)),IF(LEN(K484)=5,LEFT(K484,2)&amp;"."&amp;RIGHT(K484,3),K484)),verfvoorraad!E:E,verfvoorraad!F:F),"Niet gevonden")))</f>
        <v/>
      </c>
      <c r="P484" t="str">
        <f>IF(K484="","",IFERROR(_xlfn.XLOOKUP(K484,verfvoorraad!C:C,verfvoorraad!G:G),IFERROR(_xlfn.XLOOKUP(IF(LEFT(UPPER(K484),4)="REV-","REV-"&amp;VALUE(MID(K484,5,99)),IF(LEN(K484)=5,LEFT(K484,2)&amp;"."&amp;RIGHT(K484,3),K484)),verfvoorraad!E:E,verfvoorraad!G:G),"Niet gevonden")))</f>
        <v/>
      </c>
      <c r="Q484" t="str">
        <f t="shared" si="14"/>
        <v/>
      </c>
      <c r="R484" t="str">
        <f t="shared" si="15"/>
        <v/>
      </c>
    </row>
    <row r="485" spans="6:18" x14ac:dyDescent="0.25">
      <c r="F485"/>
      <c r="G485" s="20"/>
      <c r="H485" s="21"/>
      <c r="K485" s="23"/>
      <c r="L485" t="str">
        <f>IF(K485="","",IFERROR(_xlfn.XLOOKUP(K485,verfvoorraad!C:C,verfvoorraad!B:B),IFERROR(_xlfn.XLOOKUP(IF(LEFT(UPPER(K485),4)="REV-","REV-"&amp;VALUE(MID(K485,5,99)),IF(LEN(K485)=5,LEFT(K485,2)&amp;"."&amp;RIGHT(K485,3),K485)),verfvoorraad!E:E,verfvoorraad!B:B),"Niet gevonden")))</f>
        <v/>
      </c>
      <c r="M485" t="str">
        <f>IF(K485="","",IFERROR(_xlfn.XLOOKUP(K485,verfvoorraad!C:C,verfvoorraad!D:D),IFERROR(_xlfn.XLOOKUP(IF(LEFT(UPPER(K485),4)="REV-","REV-"&amp;VALUE(MID(K485,5,99)),IF(LEN(K485)=5,LEFT(K485,2)&amp;"."&amp;RIGHT(K485,3),K485)),verfvoorraad!E:E,verfvoorraad!D:D),"Niet gevonden")))</f>
        <v/>
      </c>
      <c r="N485" t="str">
        <f>IF(K485="","",IFERROR(_xlfn.XLOOKUP(K485,verfvoorraad!C:C,verfvoorraad!E:E),IFERROR(_xlfn.XLOOKUP(IF(LEFT(UPPER(K485),4)="REV-","REV-"&amp;VALUE(MID(K485,5,99)),IF(LEN(K485)=5,LEFT(K485,2)&amp;"."&amp;RIGHT(K485,3),K485)),verfvoorraad!E:E,verfvoorraad!E:E),"Niet gevonden")))</f>
        <v/>
      </c>
      <c r="O485" t="str">
        <f>IF(K485="","",IFERROR(_xlfn.XLOOKUP(K485,verfvoorraad!C:C,verfvoorraad!F:F),IFERROR(_xlfn.XLOOKUP(IF(LEFT(UPPER(K485),4)="REV-","REV-"&amp;VALUE(MID(K485,5,99)),IF(LEN(K485)=5,LEFT(K485,2)&amp;"."&amp;RIGHT(K485,3),K485)),verfvoorraad!E:E,verfvoorraad!F:F),"Niet gevonden")))</f>
        <v/>
      </c>
      <c r="P485" t="str">
        <f>IF(K485="","",IFERROR(_xlfn.XLOOKUP(K485,verfvoorraad!C:C,verfvoorraad!G:G),IFERROR(_xlfn.XLOOKUP(IF(LEFT(UPPER(K485),4)="REV-","REV-"&amp;VALUE(MID(K485,5,99)),IF(LEN(K485)=5,LEFT(K485,2)&amp;"."&amp;RIGHT(K485,3),K485)),verfvoorraad!E:E,verfvoorraad!G:G),"Niet gevonden")))</f>
        <v/>
      </c>
      <c r="Q485" t="str">
        <f t="shared" si="14"/>
        <v/>
      </c>
      <c r="R485" t="str">
        <f t="shared" si="15"/>
        <v/>
      </c>
    </row>
    <row r="486" spans="6:18" x14ac:dyDescent="0.25">
      <c r="F486"/>
      <c r="G486" s="20"/>
      <c r="H486" s="21"/>
      <c r="K486" s="23"/>
      <c r="L486" t="str">
        <f>IF(K486="","",IFERROR(_xlfn.XLOOKUP(K486,verfvoorraad!C:C,verfvoorraad!B:B),IFERROR(_xlfn.XLOOKUP(IF(LEFT(UPPER(K486),4)="REV-","REV-"&amp;VALUE(MID(K486,5,99)),IF(LEN(K486)=5,LEFT(K486,2)&amp;"."&amp;RIGHT(K486,3),K486)),verfvoorraad!E:E,verfvoorraad!B:B),"Niet gevonden")))</f>
        <v/>
      </c>
      <c r="M486" t="str">
        <f>IF(K486="","",IFERROR(_xlfn.XLOOKUP(K486,verfvoorraad!C:C,verfvoorraad!D:D),IFERROR(_xlfn.XLOOKUP(IF(LEFT(UPPER(K486),4)="REV-","REV-"&amp;VALUE(MID(K486,5,99)),IF(LEN(K486)=5,LEFT(K486,2)&amp;"."&amp;RIGHT(K486,3),K486)),verfvoorraad!E:E,verfvoorraad!D:D),"Niet gevonden")))</f>
        <v/>
      </c>
      <c r="N486" t="str">
        <f>IF(K486="","",IFERROR(_xlfn.XLOOKUP(K486,verfvoorraad!C:C,verfvoorraad!E:E),IFERROR(_xlfn.XLOOKUP(IF(LEFT(UPPER(K486),4)="REV-","REV-"&amp;VALUE(MID(K486,5,99)),IF(LEN(K486)=5,LEFT(K486,2)&amp;"."&amp;RIGHT(K486,3),K486)),verfvoorraad!E:E,verfvoorraad!E:E),"Niet gevonden")))</f>
        <v/>
      </c>
      <c r="O486" t="str">
        <f>IF(K486="","",IFERROR(_xlfn.XLOOKUP(K486,verfvoorraad!C:C,verfvoorraad!F:F),IFERROR(_xlfn.XLOOKUP(IF(LEFT(UPPER(K486),4)="REV-","REV-"&amp;VALUE(MID(K486,5,99)),IF(LEN(K486)=5,LEFT(K486,2)&amp;"."&amp;RIGHT(K486,3),K486)),verfvoorraad!E:E,verfvoorraad!F:F),"Niet gevonden")))</f>
        <v/>
      </c>
      <c r="P486" t="str">
        <f>IF(K486="","",IFERROR(_xlfn.XLOOKUP(K486,verfvoorraad!C:C,verfvoorraad!G:G),IFERROR(_xlfn.XLOOKUP(IF(LEFT(UPPER(K486),4)="REV-","REV-"&amp;VALUE(MID(K486,5,99)),IF(LEN(K486)=5,LEFT(K486,2)&amp;"."&amp;RIGHT(K486,3),K486)),verfvoorraad!E:E,verfvoorraad!G:G),"Niet gevonden")))</f>
        <v/>
      </c>
      <c r="Q486" t="str">
        <f t="shared" si="14"/>
        <v/>
      </c>
      <c r="R486" t="str">
        <f t="shared" si="15"/>
        <v/>
      </c>
    </row>
    <row r="487" spans="6:18" x14ac:dyDescent="0.25">
      <c r="F487"/>
      <c r="G487" s="20"/>
      <c r="H487" s="21"/>
      <c r="K487" s="23"/>
      <c r="L487" t="str">
        <f>IF(K487="","",IFERROR(_xlfn.XLOOKUP(K487,verfvoorraad!C:C,verfvoorraad!B:B),IFERROR(_xlfn.XLOOKUP(IF(LEFT(UPPER(K487),4)="REV-","REV-"&amp;VALUE(MID(K487,5,99)),IF(LEN(K487)=5,LEFT(K487,2)&amp;"."&amp;RIGHT(K487,3),K487)),verfvoorraad!E:E,verfvoorraad!B:B),"Niet gevonden")))</f>
        <v/>
      </c>
      <c r="M487" t="str">
        <f>IF(K487="","",IFERROR(_xlfn.XLOOKUP(K487,verfvoorraad!C:C,verfvoorraad!D:D),IFERROR(_xlfn.XLOOKUP(IF(LEFT(UPPER(K487),4)="REV-","REV-"&amp;VALUE(MID(K487,5,99)),IF(LEN(K487)=5,LEFT(K487,2)&amp;"."&amp;RIGHT(K487,3),K487)),verfvoorraad!E:E,verfvoorraad!D:D),"Niet gevonden")))</f>
        <v/>
      </c>
      <c r="N487" t="str">
        <f>IF(K487="","",IFERROR(_xlfn.XLOOKUP(K487,verfvoorraad!C:C,verfvoorraad!E:E),IFERROR(_xlfn.XLOOKUP(IF(LEFT(UPPER(K487),4)="REV-","REV-"&amp;VALUE(MID(K487,5,99)),IF(LEN(K487)=5,LEFT(K487,2)&amp;"."&amp;RIGHT(K487,3),K487)),verfvoorraad!E:E,verfvoorraad!E:E),"Niet gevonden")))</f>
        <v/>
      </c>
      <c r="O487" t="str">
        <f>IF(K487="","",IFERROR(_xlfn.XLOOKUP(K487,verfvoorraad!C:C,verfvoorraad!F:F),IFERROR(_xlfn.XLOOKUP(IF(LEFT(UPPER(K487),4)="REV-","REV-"&amp;VALUE(MID(K487,5,99)),IF(LEN(K487)=5,LEFT(K487,2)&amp;"."&amp;RIGHT(K487,3),K487)),verfvoorraad!E:E,verfvoorraad!F:F),"Niet gevonden")))</f>
        <v/>
      </c>
      <c r="P487" t="str">
        <f>IF(K487="","",IFERROR(_xlfn.XLOOKUP(K487,verfvoorraad!C:C,verfvoorraad!G:G),IFERROR(_xlfn.XLOOKUP(IF(LEFT(UPPER(K487),4)="REV-","REV-"&amp;VALUE(MID(K487,5,99)),IF(LEN(K487)=5,LEFT(K487,2)&amp;"."&amp;RIGHT(K487,3),K487)),verfvoorraad!E:E,verfvoorraad!G:G),"Niet gevonden")))</f>
        <v/>
      </c>
      <c r="Q487" t="str">
        <f t="shared" si="14"/>
        <v/>
      </c>
      <c r="R487" t="str">
        <f t="shared" si="15"/>
        <v/>
      </c>
    </row>
    <row r="488" spans="6:18" x14ac:dyDescent="0.25">
      <c r="F488"/>
      <c r="G488" s="20"/>
      <c r="H488" s="21"/>
      <c r="K488" s="23"/>
      <c r="L488" t="str">
        <f>IF(K488="","",IFERROR(_xlfn.XLOOKUP(K488,verfvoorraad!C:C,verfvoorraad!B:B),IFERROR(_xlfn.XLOOKUP(IF(LEFT(UPPER(K488),4)="REV-","REV-"&amp;VALUE(MID(K488,5,99)),IF(LEN(K488)=5,LEFT(K488,2)&amp;"."&amp;RIGHT(K488,3),K488)),verfvoorraad!E:E,verfvoorraad!B:B),"Niet gevonden")))</f>
        <v/>
      </c>
      <c r="M488" t="str">
        <f>IF(K488="","",IFERROR(_xlfn.XLOOKUP(K488,verfvoorraad!C:C,verfvoorraad!D:D),IFERROR(_xlfn.XLOOKUP(IF(LEFT(UPPER(K488),4)="REV-","REV-"&amp;VALUE(MID(K488,5,99)),IF(LEN(K488)=5,LEFT(K488,2)&amp;"."&amp;RIGHT(K488,3),K488)),verfvoorraad!E:E,verfvoorraad!D:D),"Niet gevonden")))</f>
        <v/>
      </c>
      <c r="N488" t="str">
        <f>IF(K488="","",IFERROR(_xlfn.XLOOKUP(K488,verfvoorraad!C:C,verfvoorraad!E:E),IFERROR(_xlfn.XLOOKUP(IF(LEFT(UPPER(K488),4)="REV-","REV-"&amp;VALUE(MID(K488,5,99)),IF(LEN(K488)=5,LEFT(K488,2)&amp;"."&amp;RIGHT(K488,3),K488)),verfvoorraad!E:E,verfvoorraad!E:E),"Niet gevonden")))</f>
        <v/>
      </c>
      <c r="O488" t="str">
        <f>IF(K488="","",IFERROR(_xlfn.XLOOKUP(K488,verfvoorraad!C:C,verfvoorraad!F:F),IFERROR(_xlfn.XLOOKUP(IF(LEFT(UPPER(K488),4)="REV-","REV-"&amp;VALUE(MID(K488,5,99)),IF(LEN(K488)=5,LEFT(K488,2)&amp;"."&amp;RIGHT(K488,3),K488)),verfvoorraad!E:E,verfvoorraad!F:F),"Niet gevonden")))</f>
        <v/>
      </c>
      <c r="P488" t="str">
        <f>IF(K488="","",IFERROR(_xlfn.XLOOKUP(K488,verfvoorraad!C:C,verfvoorraad!G:G),IFERROR(_xlfn.XLOOKUP(IF(LEFT(UPPER(K488),4)="REV-","REV-"&amp;VALUE(MID(K488,5,99)),IF(LEN(K488)=5,LEFT(K488,2)&amp;"."&amp;RIGHT(K488,3),K488)),verfvoorraad!E:E,verfvoorraad!G:G),"Niet gevonden")))</f>
        <v/>
      </c>
      <c r="Q488" t="str">
        <f t="shared" si="14"/>
        <v/>
      </c>
      <c r="R488" t="str">
        <f t="shared" si="15"/>
        <v/>
      </c>
    </row>
    <row r="489" spans="6:18" x14ac:dyDescent="0.25">
      <c r="F489"/>
      <c r="G489" s="20"/>
      <c r="H489" s="21"/>
      <c r="K489" s="23"/>
      <c r="L489" t="str">
        <f>IF(K489="","",IFERROR(_xlfn.XLOOKUP(K489,verfvoorraad!C:C,verfvoorraad!B:B),IFERROR(_xlfn.XLOOKUP(IF(LEFT(UPPER(K489),4)="REV-","REV-"&amp;VALUE(MID(K489,5,99)),IF(LEN(K489)=5,LEFT(K489,2)&amp;"."&amp;RIGHT(K489,3),K489)),verfvoorraad!E:E,verfvoorraad!B:B),"Niet gevonden")))</f>
        <v/>
      </c>
      <c r="M489" t="str">
        <f>IF(K489="","",IFERROR(_xlfn.XLOOKUP(K489,verfvoorraad!C:C,verfvoorraad!D:D),IFERROR(_xlfn.XLOOKUP(IF(LEFT(UPPER(K489),4)="REV-","REV-"&amp;VALUE(MID(K489,5,99)),IF(LEN(K489)=5,LEFT(K489,2)&amp;"."&amp;RIGHT(K489,3),K489)),verfvoorraad!E:E,verfvoorraad!D:D),"Niet gevonden")))</f>
        <v/>
      </c>
      <c r="N489" t="str">
        <f>IF(K489="","",IFERROR(_xlfn.XLOOKUP(K489,verfvoorraad!C:C,verfvoorraad!E:E),IFERROR(_xlfn.XLOOKUP(IF(LEFT(UPPER(K489),4)="REV-","REV-"&amp;VALUE(MID(K489,5,99)),IF(LEN(K489)=5,LEFT(K489,2)&amp;"."&amp;RIGHT(K489,3),K489)),verfvoorraad!E:E,verfvoorraad!E:E),"Niet gevonden")))</f>
        <v/>
      </c>
      <c r="O489" t="str">
        <f>IF(K489="","",IFERROR(_xlfn.XLOOKUP(K489,verfvoorraad!C:C,verfvoorraad!F:F),IFERROR(_xlfn.XLOOKUP(IF(LEFT(UPPER(K489),4)="REV-","REV-"&amp;VALUE(MID(K489,5,99)),IF(LEN(K489)=5,LEFT(K489,2)&amp;"."&amp;RIGHT(K489,3),K489)),verfvoorraad!E:E,verfvoorraad!F:F),"Niet gevonden")))</f>
        <v/>
      </c>
      <c r="P489" t="str">
        <f>IF(K489="","",IFERROR(_xlfn.XLOOKUP(K489,verfvoorraad!C:C,verfvoorraad!G:G),IFERROR(_xlfn.XLOOKUP(IF(LEFT(UPPER(K489),4)="REV-","REV-"&amp;VALUE(MID(K489,5,99)),IF(LEN(K489)=5,LEFT(K489,2)&amp;"."&amp;RIGHT(K489,3),K489)),verfvoorraad!E:E,verfvoorraad!G:G),"Niet gevonden")))</f>
        <v/>
      </c>
      <c r="Q489" t="str">
        <f t="shared" si="14"/>
        <v/>
      </c>
      <c r="R489" t="str">
        <f t="shared" si="15"/>
        <v/>
      </c>
    </row>
    <row r="490" spans="6:18" x14ac:dyDescent="0.25">
      <c r="F490"/>
      <c r="G490" s="20"/>
      <c r="H490" s="21"/>
      <c r="K490" s="23"/>
      <c r="L490" t="str">
        <f>IF(K490="","",IFERROR(_xlfn.XLOOKUP(K490,verfvoorraad!C:C,verfvoorraad!B:B),IFERROR(_xlfn.XLOOKUP(IF(LEFT(UPPER(K490),4)="REV-","REV-"&amp;VALUE(MID(K490,5,99)),IF(LEN(K490)=5,LEFT(K490,2)&amp;"."&amp;RIGHT(K490,3),K490)),verfvoorraad!E:E,verfvoorraad!B:B),"Niet gevonden")))</f>
        <v/>
      </c>
      <c r="M490" t="str">
        <f>IF(K490="","",IFERROR(_xlfn.XLOOKUP(K490,verfvoorraad!C:C,verfvoorraad!D:D),IFERROR(_xlfn.XLOOKUP(IF(LEFT(UPPER(K490),4)="REV-","REV-"&amp;VALUE(MID(K490,5,99)),IF(LEN(K490)=5,LEFT(K490,2)&amp;"."&amp;RIGHT(K490,3),K490)),verfvoorraad!E:E,verfvoorraad!D:D),"Niet gevonden")))</f>
        <v/>
      </c>
      <c r="N490" t="str">
        <f>IF(K490="","",IFERROR(_xlfn.XLOOKUP(K490,verfvoorraad!C:C,verfvoorraad!E:E),IFERROR(_xlfn.XLOOKUP(IF(LEFT(UPPER(K490),4)="REV-","REV-"&amp;VALUE(MID(K490,5,99)),IF(LEN(K490)=5,LEFT(K490,2)&amp;"."&amp;RIGHT(K490,3),K490)),verfvoorraad!E:E,verfvoorraad!E:E),"Niet gevonden")))</f>
        <v/>
      </c>
      <c r="O490" t="str">
        <f>IF(K490="","",IFERROR(_xlfn.XLOOKUP(K490,verfvoorraad!C:C,verfvoorraad!F:F),IFERROR(_xlfn.XLOOKUP(IF(LEFT(UPPER(K490),4)="REV-","REV-"&amp;VALUE(MID(K490,5,99)),IF(LEN(K490)=5,LEFT(K490,2)&amp;"."&amp;RIGHT(K490,3),K490)),verfvoorraad!E:E,verfvoorraad!F:F),"Niet gevonden")))</f>
        <v/>
      </c>
      <c r="P490" t="str">
        <f>IF(K490="","",IFERROR(_xlfn.XLOOKUP(K490,verfvoorraad!C:C,verfvoorraad!G:G),IFERROR(_xlfn.XLOOKUP(IF(LEFT(UPPER(K490),4)="REV-","REV-"&amp;VALUE(MID(K490,5,99)),IF(LEN(K490)=5,LEFT(K490,2)&amp;"."&amp;RIGHT(K490,3),K490)),verfvoorraad!E:E,verfvoorraad!G:G),"Niet gevonden")))</f>
        <v/>
      </c>
      <c r="Q490" t="str">
        <f t="shared" si="14"/>
        <v/>
      </c>
      <c r="R490" t="str">
        <f t="shared" si="15"/>
        <v/>
      </c>
    </row>
    <row r="491" spans="6:18" x14ac:dyDescent="0.25">
      <c r="F491"/>
      <c r="G491" s="20"/>
      <c r="H491" s="21"/>
      <c r="K491" s="23"/>
      <c r="L491" t="str">
        <f>IF(K491="","",IFERROR(_xlfn.XLOOKUP(K491,verfvoorraad!C:C,verfvoorraad!B:B),IFERROR(_xlfn.XLOOKUP(IF(LEFT(UPPER(K491),4)="REV-","REV-"&amp;VALUE(MID(K491,5,99)),IF(LEN(K491)=5,LEFT(K491,2)&amp;"."&amp;RIGHT(K491,3),K491)),verfvoorraad!E:E,verfvoorraad!B:B),"Niet gevonden")))</f>
        <v/>
      </c>
      <c r="M491" t="str">
        <f>IF(K491="","",IFERROR(_xlfn.XLOOKUP(K491,verfvoorraad!C:C,verfvoorraad!D:D),IFERROR(_xlfn.XLOOKUP(IF(LEFT(UPPER(K491),4)="REV-","REV-"&amp;VALUE(MID(K491,5,99)),IF(LEN(K491)=5,LEFT(K491,2)&amp;"."&amp;RIGHT(K491,3),K491)),verfvoorraad!E:E,verfvoorraad!D:D),"Niet gevonden")))</f>
        <v/>
      </c>
      <c r="N491" t="str">
        <f>IF(K491="","",IFERROR(_xlfn.XLOOKUP(K491,verfvoorraad!C:C,verfvoorraad!E:E),IFERROR(_xlfn.XLOOKUP(IF(LEFT(UPPER(K491),4)="REV-","REV-"&amp;VALUE(MID(K491,5,99)),IF(LEN(K491)=5,LEFT(K491,2)&amp;"."&amp;RIGHT(K491,3),K491)),verfvoorraad!E:E,verfvoorraad!E:E),"Niet gevonden")))</f>
        <v/>
      </c>
      <c r="O491" t="str">
        <f>IF(K491="","",IFERROR(_xlfn.XLOOKUP(K491,verfvoorraad!C:C,verfvoorraad!F:F),IFERROR(_xlfn.XLOOKUP(IF(LEFT(UPPER(K491),4)="REV-","REV-"&amp;VALUE(MID(K491,5,99)),IF(LEN(K491)=5,LEFT(K491,2)&amp;"."&amp;RIGHT(K491,3),K491)),verfvoorraad!E:E,verfvoorraad!F:F),"Niet gevonden")))</f>
        <v/>
      </c>
      <c r="P491" t="str">
        <f>IF(K491="","",IFERROR(_xlfn.XLOOKUP(K491,verfvoorraad!C:C,verfvoorraad!G:G),IFERROR(_xlfn.XLOOKUP(IF(LEFT(UPPER(K491),4)="REV-","REV-"&amp;VALUE(MID(K491,5,99)),IF(LEN(K491)=5,LEFT(K491,2)&amp;"."&amp;RIGHT(K491,3),K491)),verfvoorraad!E:E,verfvoorraad!G:G),"Niet gevonden")))</f>
        <v/>
      </c>
      <c r="Q491" t="str">
        <f t="shared" si="14"/>
        <v/>
      </c>
      <c r="R491" t="str">
        <f t="shared" si="15"/>
        <v/>
      </c>
    </row>
    <row r="492" spans="6:18" x14ac:dyDescent="0.25">
      <c r="F492"/>
      <c r="G492" s="20"/>
      <c r="H492" s="21"/>
      <c r="K492" s="23"/>
      <c r="L492" t="str">
        <f>IF(K492="","",IFERROR(_xlfn.XLOOKUP(K492,verfvoorraad!C:C,verfvoorraad!B:B),IFERROR(_xlfn.XLOOKUP(IF(LEFT(UPPER(K492),4)="REV-","REV-"&amp;VALUE(MID(K492,5,99)),IF(LEN(K492)=5,LEFT(K492,2)&amp;"."&amp;RIGHT(K492,3),K492)),verfvoorraad!E:E,verfvoorraad!B:B),"Niet gevonden")))</f>
        <v/>
      </c>
      <c r="M492" t="str">
        <f>IF(K492="","",IFERROR(_xlfn.XLOOKUP(K492,verfvoorraad!C:C,verfvoorraad!D:D),IFERROR(_xlfn.XLOOKUP(IF(LEFT(UPPER(K492),4)="REV-","REV-"&amp;VALUE(MID(K492,5,99)),IF(LEN(K492)=5,LEFT(K492,2)&amp;"."&amp;RIGHT(K492,3),K492)),verfvoorraad!E:E,verfvoorraad!D:D),"Niet gevonden")))</f>
        <v/>
      </c>
      <c r="N492" t="str">
        <f>IF(K492="","",IFERROR(_xlfn.XLOOKUP(K492,verfvoorraad!C:C,verfvoorraad!E:E),IFERROR(_xlfn.XLOOKUP(IF(LEFT(UPPER(K492),4)="REV-","REV-"&amp;VALUE(MID(K492,5,99)),IF(LEN(K492)=5,LEFT(K492,2)&amp;"."&amp;RIGHT(K492,3),K492)),verfvoorraad!E:E,verfvoorraad!E:E),"Niet gevonden")))</f>
        <v/>
      </c>
      <c r="O492" t="str">
        <f>IF(K492="","",IFERROR(_xlfn.XLOOKUP(K492,verfvoorraad!C:C,verfvoorraad!F:F),IFERROR(_xlfn.XLOOKUP(IF(LEFT(UPPER(K492),4)="REV-","REV-"&amp;VALUE(MID(K492,5,99)),IF(LEN(K492)=5,LEFT(K492,2)&amp;"."&amp;RIGHT(K492,3),K492)),verfvoorraad!E:E,verfvoorraad!F:F),"Niet gevonden")))</f>
        <v/>
      </c>
      <c r="P492" t="str">
        <f>IF(K492="","",IFERROR(_xlfn.XLOOKUP(K492,verfvoorraad!C:C,verfvoorraad!G:G),IFERROR(_xlfn.XLOOKUP(IF(LEFT(UPPER(K492),4)="REV-","REV-"&amp;VALUE(MID(K492,5,99)),IF(LEN(K492)=5,LEFT(K492,2)&amp;"."&amp;RIGHT(K492,3),K492)),verfvoorraad!E:E,verfvoorraad!G:G),"Niet gevonden")))</f>
        <v/>
      </c>
      <c r="Q492" t="str">
        <f t="shared" si="14"/>
        <v/>
      </c>
      <c r="R492" t="str">
        <f t="shared" si="15"/>
        <v/>
      </c>
    </row>
    <row r="493" spans="6:18" x14ac:dyDescent="0.25">
      <c r="F493"/>
      <c r="G493" s="20"/>
      <c r="H493" s="21"/>
      <c r="K493" s="23"/>
      <c r="L493" t="str">
        <f>IF(K493="","",IFERROR(_xlfn.XLOOKUP(K493,verfvoorraad!C:C,verfvoorraad!B:B),IFERROR(_xlfn.XLOOKUP(IF(LEFT(UPPER(K493),4)="REV-","REV-"&amp;VALUE(MID(K493,5,99)),IF(LEN(K493)=5,LEFT(K493,2)&amp;"."&amp;RIGHT(K493,3),K493)),verfvoorraad!E:E,verfvoorraad!B:B),"Niet gevonden")))</f>
        <v/>
      </c>
      <c r="M493" t="str">
        <f>IF(K493="","",IFERROR(_xlfn.XLOOKUP(K493,verfvoorraad!C:C,verfvoorraad!D:D),IFERROR(_xlfn.XLOOKUP(IF(LEFT(UPPER(K493),4)="REV-","REV-"&amp;VALUE(MID(K493,5,99)),IF(LEN(K493)=5,LEFT(K493,2)&amp;"."&amp;RIGHT(K493,3),K493)),verfvoorraad!E:E,verfvoorraad!D:D),"Niet gevonden")))</f>
        <v/>
      </c>
      <c r="N493" t="str">
        <f>IF(K493="","",IFERROR(_xlfn.XLOOKUP(K493,verfvoorraad!C:C,verfvoorraad!E:E),IFERROR(_xlfn.XLOOKUP(IF(LEFT(UPPER(K493),4)="REV-","REV-"&amp;VALUE(MID(K493,5,99)),IF(LEN(K493)=5,LEFT(K493,2)&amp;"."&amp;RIGHT(K493,3),K493)),verfvoorraad!E:E,verfvoorraad!E:E),"Niet gevonden")))</f>
        <v/>
      </c>
      <c r="O493" t="str">
        <f>IF(K493="","",IFERROR(_xlfn.XLOOKUP(K493,verfvoorraad!C:C,verfvoorraad!F:F),IFERROR(_xlfn.XLOOKUP(IF(LEFT(UPPER(K493),4)="REV-","REV-"&amp;VALUE(MID(K493,5,99)),IF(LEN(K493)=5,LEFT(K493,2)&amp;"."&amp;RIGHT(K493,3),K493)),verfvoorraad!E:E,verfvoorraad!F:F),"Niet gevonden")))</f>
        <v/>
      </c>
      <c r="P493" t="str">
        <f>IF(K493="","",IFERROR(_xlfn.XLOOKUP(K493,verfvoorraad!C:C,verfvoorraad!G:G),IFERROR(_xlfn.XLOOKUP(IF(LEFT(UPPER(K493),4)="REV-","REV-"&amp;VALUE(MID(K493,5,99)),IF(LEN(K493)=5,LEFT(K493,2)&amp;"."&amp;RIGHT(K493,3),K493)),verfvoorraad!E:E,verfvoorraad!G:G),"Niet gevonden")))</f>
        <v/>
      </c>
      <c r="Q493" t="str">
        <f t="shared" si="14"/>
        <v/>
      </c>
      <c r="R493" t="str">
        <f t="shared" si="15"/>
        <v/>
      </c>
    </row>
    <row r="494" spans="6:18" x14ac:dyDescent="0.25">
      <c r="F494"/>
      <c r="G494" s="20"/>
      <c r="H494" s="21"/>
      <c r="K494" s="23"/>
      <c r="L494" t="str">
        <f>IF(K494="","",IFERROR(_xlfn.XLOOKUP(K494,verfvoorraad!C:C,verfvoorraad!B:B),IFERROR(_xlfn.XLOOKUP(IF(LEFT(UPPER(K494),4)="REV-","REV-"&amp;VALUE(MID(K494,5,99)),IF(LEN(K494)=5,LEFT(K494,2)&amp;"."&amp;RIGHT(K494,3),K494)),verfvoorraad!E:E,verfvoorraad!B:B),"Niet gevonden")))</f>
        <v/>
      </c>
      <c r="M494" t="str">
        <f>IF(K494="","",IFERROR(_xlfn.XLOOKUP(K494,verfvoorraad!C:C,verfvoorraad!D:D),IFERROR(_xlfn.XLOOKUP(IF(LEFT(UPPER(K494),4)="REV-","REV-"&amp;VALUE(MID(K494,5,99)),IF(LEN(K494)=5,LEFT(K494,2)&amp;"."&amp;RIGHT(K494,3),K494)),verfvoorraad!E:E,verfvoorraad!D:D),"Niet gevonden")))</f>
        <v/>
      </c>
      <c r="N494" t="str">
        <f>IF(K494="","",IFERROR(_xlfn.XLOOKUP(K494,verfvoorraad!C:C,verfvoorraad!E:E),IFERROR(_xlfn.XLOOKUP(IF(LEFT(UPPER(K494),4)="REV-","REV-"&amp;VALUE(MID(K494,5,99)),IF(LEN(K494)=5,LEFT(K494,2)&amp;"."&amp;RIGHT(K494,3),K494)),verfvoorraad!E:E,verfvoorraad!E:E),"Niet gevonden")))</f>
        <v/>
      </c>
      <c r="O494" t="str">
        <f>IF(K494="","",IFERROR(_xlfn.XLOOKUP(K494,verfvoorraad!C:C,verfvoorraad!F:F),IFERROR(_xlfn.XLOOKUP(IF(LEFT(UPPER(K494),4)="REV-","REV-"&amp;VALUE(MID(K494,5,99)),IF(LEN(K494)=5,LEFT(K494,2)&amp;"."&amp;RIGHT(K494,3),K494)),verfvoorraad!E:E,verfvoorraad!F:F),"Niet gevonden")))</f>
        <v/>
      </c>
      <c r="P494" t="str">
        <f>IF(K494="","",IFERROR(_xlfn.XLOOKUP(K494,verfvoorraad!C:C,verfvoorraad!G:G),IFERROR(_xlfn.XLOOKUP(IF(LEFT(UPPER(K494),4)="REV-","REV-"&amp;VALUE(MID(K494,5,99)),IF(LEN(K494)=5,LEFT(K494,2)&amp;"."&amp;RIGHT(K494,3),K494)),verfvoorraad!E:E,verfvoorraad!G:G),"Niet gevonden")))</f>
        <v/>
      </c>
      <c r="Q494" t="str">
        <f t="shared" si="14"/>
        <v/>
      </c>
      <c r="R494" t="str">
        <f t="shared" si="15"/>
        <v/>
      </c>
    </row>
    <row r="495" spans="6:18" x14ac:dyDescent="0.25">
      <c r="F495"/>
      <c r="G495" s="20"/>
      <c r="H495" s="21"/>
      <c r="K495" s="23"/>
      <c r="L495" t="str">
        <f>IF(K495="","",IFERROR(_xlfn.XLOOKUP(K495,verfvoorraad!C:C,verfvoorraad!B:B),IFERROR(_xlfn.XLOOKUP(IF(LEFT(UPPER(K495),4)="REV-","REV-"&amp;VALUE(MID(K495,5,99)),IF(LEN(K495)=5,LEFT(K495,2)&amp;"."&amp;RIGHT(K495,3),K495)),verfvoorraad!E:E,verfvoorraad!B:B),"Niet gevonden")))</f>
        <v/>
      </c>
      <c r="M495" t="str">
        <f>IF(K495="","",IFERROR(_xlfn.XLOOKUP(K495,verfvoorraad!C:C,verfvoorraad!D:D),IFERROR(_xlfn.XLOOKUP(IF(LEFT(UPPER(K495),4)="REV-","REV-"&amp;VALUE(MID(K495,5,99)),IF(LEN(K495)=5,LEFT(K495,2)&amp;"."&amp;RIGHT(K495,3),K495)),verfvoorraad!E:E,verfvoorraad!D:D),"Niet gevonden")))</f>
        <v/>
      </c>
      <c r="N495" t="str">
        <f>IF(K495="","",IFERROR(_xlfn.XLOOKUP(K495,verfvoorraad!C:C,verfvoorraad!E:E),IFERROR(_xlfn.XLOOKUP(IF(LEFT(UPPER(K495),4)="REV-","REV-"&amp;VALUE(MID(K495,5,99)),IF(LEN(K495)=5,LEFT(K495,2)&amp;"."&amp;RIGHT(K495,3),K495)),verfvoorraad!E:E,verfvoorraad!E:E),"Niet gevonden")))</f>
        <v/>
      </c>
      <c r="O495" t="str">
        <f>IF(K495="","",IFERROR(_xlfn.XLOOKUP(K495,verfvoorraad!C:C,verfvoorraad!F:F),IFERROR(_xlfn.XLOOKUP(IF(LEFT(UPPER(K495),4)="REV-","REV-"&amp;VALUE(MID(K495,5,99)),IF(LEN(K495)=5,LEFT(K495,2)&amp;"."&amp;RIGHT(K495,3),K495)),verfvoorraad!E:E,verfvoorraad!F:F),"Niet gevonden")))</f>
        <v/>
      </c>
      <c r="P495" t="str">
        <f>IF(K495="","",IFERROR(_xlfn.XLOOKUP(K495,verfvoorraad!C:C,verfvoorraad!G:G),IFERROR(_xlfn.XLOOKUP(IF(LEFT(UPPER(K495),4)="REV-","REV-"&amp;VALUE(MID(K495,5,99)),IF(LEN(K495)=5,LEFT(K495,2)&amp;"."&amp;RIGHT(K495,3),K495)),verfvoorraad!E:E,verfvoorraad!G:G),"Niet gevonden")))</f>
        <v/>
      </c>
      <c r="Q495" t="str">
        <f t="shared" si="14"/>
        <v/>
      </c>
      <c r="R495" t="str">
        <f t="shared" si="15"/>
        <v/>
      </c>
    </row>
    <row r="496" spans="6:18" x14ac:dyDescent="0.25">
      <c r="F496"/>
      <c r="G496" s="20"/>
      <c r="H496" s="21"/>
      <c r="K496" s="23"/>
      <c r="L496" t="str">
        <f>IF(K496="","",IFERROR(_xlfn.XLOOKUP(K496,verfvoorraad!C:C,verfvoorraad!B:B),IFERROR(_xlfn.XLOOKUP(IF(LEFT(UPPER(K496),4)="REV-","REV-"&amp;VALUE(MID(K496,5,99)),IF(LEN(K496)=5,LEFT(K496,2)&amp;"."&amp;RIGHT(K496,3),K496)),verfvoorraad!E:E,verfvoorraad!B:B),"Niet gevonden")))</f>
        <v/>
      </c>
      <c r="M496" t="str">
        <f>IF(K496="","",IFERROR(_xlfn.XLOOKUP(K496,verfvoorraad!C:C,verfvoorraad!D:D),IFERROR(_xlfn.XLOOKUP(IF(LEFT(UPPER(K496),4)="REV-","REV-"&amp;VALUE(MID(K496,5,99)),IF(LEN(K496)=5,LEFT(K496,2)&amp;"."&amp;RIGHT(K496,3),K496)),verfvoorraad!E:E,verfvoorraad!D:D),"Niet gevonden")))</f>
        <v/>
      </c>
      <c r="N496" t="str">
        <f>IF(K496="","",IFERROR(_xlfn.XLOOKUP(K496,verfvoorraad!C:C,verfvoorraad!E:E),IFERROR(_xlfn.XLOOKUP(IF(LEFT(UPPER(K496),4)="REV-","REV-"&amp;VALUE(MID(K496,5,99)),IF(LEN(K496)=5,LEFT(K496,2)&amp;"."&amp;RIGHT(K496,3),K496)),verfvoorraad!E:E,verfvoorraad!E:E),"Niet gevonden")))</f>
        <v/>
      </c>
      <c r="O496" t="str">
        <f>IF(K496="","",IFERROR(_xlfn.XLOOKUP(K496,verfvoorraad!C:C,verfvoorraad!F:F),IFERROR(_xlfn.XLOOKUP(IF(LEFT(UPPER(K496),4)="REV-","REV-"&amp;VALUE(MID(K496,5,99)),IF(LEN(K496)=5,LEFT(K496,2)&amp;"."&amp;RIGHT(K496,3),K496)),verfvoorraad!E:E,verfvoorraad!F:F),"Niet gevonden")))</f>
        <v/>
      </c>
      <c r="P496" t="str">
        <f>IF(K496="","",IFERROR(_xlfn.XLOOKUP(K496,verfvoorraad!C:C,verfvoorraad!G:G),IFERROR(_xlfn.XLOOKUP(IF(LEFT(UPPER(K496),4)="REV-","REV-"&amp;VALUE(MID(K496,5,99)),IF(LEN(K496)=5,LEFT(K496,2)&amp;"."&amp;RIGHT(K496,3),K496)),verfvoorraad!E:E,verfvoorraad!G:G),"Niet gevonden")))</f>
        <v/>
      </c>
      <c r="Q496" t="str">
        <f t="shared" si="14"/>
        <v/>
      </c>
      <c r="R496" t="str">
        <f t="shared" si="15"/>
        <v/>
      </c>
    </row>
    <row r="497" spans="3:18" x14ac:dyDescent="0.25">
      <c r="F497"/>
      <c r="G497" s="20"/>
      <c r="H497" s="21"/>
      <c r="K497" s="23"/>
      <c r="L497" t="str">
        <f>IF(K497="","",IFERROR(_xlfn.XLOOKUP(K497,verfvoorraad!C:C,verfvoorraad!B:B),IFERROR(_xlfn.XLOOKUP(IF(LEFT(UPPER(K497),4)="REV-","REV-"&amp;VALUE(MID(K497,5,99)),IF(LEN(K497)=5,LEFT(K497,2)&amp;"."&amp;RIGHT(K497,3),K497)),verfvoorraad!E:E,verfvoorraad!B:B),"Niet gevonden")))</f>
        <v/>
      </c>
      <c r="M497" t="str">
        <f>IF(K497="","",IFERROR(_xlfn.XLOOKUP(K497,verfvoorraad!C:C,verfvoorraad!D:D),IFERROR(_xlfn.XLOOKUP(IF(LEFT(UPPER(K497),4)="REV-","REV-"&amp;VALUE(MID(K497,5,99)),IF(LEN(K497)=5,LEFT(K497,2)&amp;"."&amp;RIGHT(K497,3),K497)),verfvoorraad!E:E,verfvoorraad!D:D),"Niet gevonden")))</f>
        <v/>
      </c>
      <c r="N497" t="str">
        <f>IF(K497="","",IFERROR(_xlfn.XLOOKUP(K497,verfvoorraad!C:C,verfvoorraad!E:E),IFERROR(_xlfn.XLOOKUP(IF(LEFT(UPPER(K497),4)="REV-","REV-"&amp;VALUE(MID(K497,5,99)),IF(LEN(K497)=5,LEFT(K497,2)&amp;"."&amp;RIGHT(K497,3),K497)),verfvoorraad!E:E,verfvoorraad!E:E),"Niet gevonden")))</f>
        <v/>
      </c>
      <c r="O497" t="str">
        <f>IF(K497="","",IFERROR(_xlfn.XLOOKUP(K497,verfvoorraad!C:C,verfvoorraad!F:F),IFERROR(_xlfn.XLOOKUP(IF(LEFT(UPPER(K497),4)="REV-","REV-"&amp;VALUE(MID(K497,5,99)),IF(LEN(K497)=5,LEFT(K497,2)&amp;"."&amp;RIGHT(K497,3),K497)),verfvoorraad!E:E,verfvoorraad!F:F),"Niet gevonden")))</f>
        <v/>
      </c>
      <c r="P497" t="str">
        <f>IF(K497="","",IFERROR(_xlfn.XLOOKUP(K497,verfvoorraad!C:C,verfvoorraad!G:G),IFERROR(_xlfn.XLOOKUP(IF(LEFT(UPPER(K497),4)="REV-","REV-"&amp;VALUE(MID(K497,5,99)),IF(LEN(K497)=5,LEFT(K497,2)&amp;"."&amp;RIGHT(K497,3),K497)),verfvoorraad!E:E,verfvoorraad!G:G),"Niet gevonden")))</f>
        <v/>
      </c>
      <c r="Q497" t="str">
        <f t="shared" si="14"/>
        <v/>
      </c>
      <c r="R497" t="str">
        <f t="shared" si="15"/>
        <v/>
      </c>
    </row>
    <row r="498" spans="3:18" x14ac:dyDescent="0.25">
      <c r="F498"/>
      <c r="G498" s="20"/>
      <c r="H498" s="21"/>
      <c r="K498" s="23"/>
      <c r="L498" t="str">
        <f>IF(K498="","",IFERROR(_xlfn.XLOOKUP(K498,verfvoorraad!C:C,verfvoorraad!B:B),IFERROR(_xlfn.XLOOKUP(IF(LEFT(UPPER(K498),4)="REV-","REV-"&amp;VALUE(MID(K498,5,99)),IF(LEN(K498)=5,LEFT(K498,2)&amp;"."&amp;RIGHT(K498,3),K498)),verfvoorraad!E:E,verfvoorraad!B:B),"Niet gevonden")))</f>
        <v/>
      </c>
      <c r="M498" t="str">
        <f>IF(K498="","",IFERROR(_xlfn.XLOOKUP(K498,verfvoorraad!C:C,verfvoorraad!D:D),IFERROR(_xlfn.XLOOKUP(IF(LEFT(UPPER(K498),4)="REV-","REV-"&amp;VALUE(MID(K498,5,99)),IF(LEN(K498)=5,LEFT(K498,2)&amp;"."&amp;RIGHT(K498,3),K498)),verfvoorraad!E:E,verfvoorraad!D:D),"Niet gevonden")))</f>
        <v/>
      </c>
      <c r="N498" t="str">
        <f>IF(K498="","",IFERROR(_xlfn.XLOOKUP(K498,verfvoorraad!C:C,verfvoorraad!E:E),IFERROR(_xlfn.XLOOKUP(IF(LEFT(UPPER(K498),4)="REV-","REV-"&amp;VALUE(MID(K498,5,99)),IF(LEN(K498)=5,LEFT(K498,2)&amp;"."&amp;RIGHT(K498,3),K498)),verfvoorraad!E:E,verfvoorraad!E:E),"Niet gevonden")))</f>
        <v/>
      </c>
      <c r="O498" t="str">
        <f>IF(K498="","",IFERROR(_xlfn.XLOOKUP(K498,verfvoorraad!C:C,verfvoorraad!F:F),IFERROR(_xlfn.XLOOKUP(IF(LEFT(UPPER(K498),4)="REV-","REV-"&amp;VALUE(MID(K498,5,99)),IF(LEN(K498)=5,LEFT(K498,2)&amp;"."&amp;RIGHT(K498,3),K498)),verfvoorraad!E:E,verfvoorraad!F:F),"Niet gevonden")))</f>
        <v/>
      </c>
      <c r="P498" t="str">
        <f>IF(K498="","",IFERROR(_xlfn.XLOOKUP(K498,verfvoorraad!C:C,verfvoorraad!G:G),IFERROR(_xlfn.XLOOKUP(IF(LEFT(UPPER(K498),4)="REV-","REV-"&amp;VALUE(MID(K498,5,99)),IF(LEN(K498)=5,LEFT(K498,2)&amp;"."&amp;RIGHT(K498,3),K498)),verfvoorraad!E:E,verfvoorraad!G:G),"Niet gevonden")))</f>
        <v/>
      </c>
      <c r="Q498" t="str">
        <f t="shared" si="14"/>
        <v/>
      </c>
      <c r="R498" t="str">
        <f t="shared" si="15"/>
        <v/>
      </c>
    </row>
    <row r="499" spans="3:18" x14ac:dyDescent="0.25">
      <c r="F499"/>
      <c r="G499" s="20"/>
      <c r="H499" s="21"/>
      <c r="K499" s="23"/>
      <c r="L499" t="str">
        <f>IF(K499="","",IFERROR(_xlfn.XLOOKUP(K499,verfvoorraad!C:C,verfvoorraad!B:B),IFERROR(_xlfn.XLOOKUP(IF(LEFT(UPPER(K499),4)="REV-","REV-"&amp;VALUE(MID(K499,5,99)),IF(LEN(K499)=5,LEFT(K499,2)&amp;"."&amp;RIGHT(K499,3),K499)),verfvoorraad!E:E,verfvoorraad!B:B),"Niet gevonden")))</f>
        <v/>
      </c>
      <c r="M499" t="str">
        <f>IF(K499="","",IFERROR(_xlfn.XLOOKUP(K499,verfvoorraad!C:C,verfvoorraad!D:D),IFERROR(_xlfn.XLOOKUP(IF(LEFT(UPPER(K499),4)="REV-","REV-"&amp;VALUE(MID(K499,5,99)),IF(LEN(K499)=5,LEFT(K499,2)&amp;"."&amp;RIGHT(K499,3),K499)),verfvoorraad!E:E,verfvoorraad!D:D),"Niet gevonden")))</f>
        <v/>
      </c>
      <c r="N499" t="str">
        <f>IF(K499="","",IFERROR(_xlfn.XLOOKUP(K499,verfvoorraad!C:C,verfvoorraad!E:E),IFERROR(_xlfn.XLOOKUP(IF(LEFT(UPPER(K499),4)="REV-","REV-"&amp;VALUE(MID(K499,5,99)),IF(LEN(K499)=5,LEFT(K499,2)&amp;"."&amp;RIGHT(K499,3),K499)),verfvoorraad!E:E,verfvoorraad!E:E),"Niet gevonden")))</f>
        <v/>
      </c>
      <c r="O499" t="str">
        <f>IF(K499="","",IFERROR(_xlfn.XLOOKUP(K499,verfvoorraad!C:C,verfvoorraad!F:F),IFERROR(_xlfn.XLOOKUP(IF(LEFT(UPPER(K499),4)="REV-","REV-"&amp;VALUE(MID(K499,5,99)),IF(LEN(K499)=5,LEFT(K499,2)&amp;"."&amp;RIGHT(K499,3),K499)),verfvoorraad!E:E,verfvoorraad!F:F),"Niet gevonden")))</f>
        <v/>
      </c>
      <c r="P499" t="str">
        <f>IF(K499="","",IFERROR(_xlfn.XLOOKUP(K499,verfvoorraad!C:C,verfvoorraad!G:G),IFERROR(_xlfn.XLOOKUP(IF(LEFT(UPPER(K499),4)="REV-","REV-"&amp;VALUE(MID(K499,5,99)),IF(LEN(K499)=5,LEFT(K499,2)&amp;"."&amp;RIGHT(K499,3),K499)),verfvoorraad!E:E,verfvoorraad!G:G),"Niet gevonden")))</f>
        <v/>
      </c>
      <c r="Q499" t="str">
        <f t="shared" si="14"/>
        <v/>
      </c>
      <c r="R499" t="str">
        <f t="shared" si="15"/>
        <v/>
      </c>
    </row>
    <row r="500" spans="3:18" s="29" customFormat="1" ht="15.75" thickBot="1" x14ac:dyDescent="0.3">
      <c r="C500" s="28"/>
      <c r="G500" s="30"/>
      <c r="H500" s="31"/>
      <c r="K500" s="32"/>
      <c r="L500" t="str">
        <f>IF(K500="","",IFERROR(_xlfn.XLOOKUP(K500,verfvoorraad!C:C,verfvoorraad!B:B),IFERROR(_xlfn.XLOOKUP(IF(LEFT(UPPER(K500),4)="REV-","REV-"&amp;VALUE(MID(K500,5,99)),IF(LEN(K500)=5,LEFT(K500,2)&amp;"."&amp;RIGHT(K500,3),K500)),verfvoorraad!E:E,verfvoorraad!B:B),"Niet gevonden")))</f>
        <v/>
      </c>
      <c r="M500" t="str">
        <f>IF(K500="","",IFERROR(_xlfn.XLOOKUP(K500,verfvoorraad!C:C,verfvoorraad!D:D),IFERROR(_xlfn.XLOOKUP(IF(LEFT(UPPER(K500),4)="REV-","REV-"&amp;VALUE(MID(K500,5,99)),IF(LEN(K500)=5,LEFT(K500,2)&amp;"."&amp;RIGHT(K500,3),K500)),verfvoorraad!E:E,verfvoorraad!D:D),"Niet gevonden")))</f>
        <v/>
      </c>
      <c r="N500" t="str">
        <f>IF(K500="","",IFERROR(_xlfn.XLOOKUP(K500,verfvoorraad!C:C,verfvoorraad!E:E),IFERROR(_xlfn.XLOOKUP(IF(LEFT(UPPER(K500),4)="REV-","REV-"&amp;VALUE(MID(K500,5,99)),IF(LEN(K500)=5,LEFT(K500,2)&amp;"."&amp;RIGHT(K500,3),K500)),verfvoorraad!E:E,verfvoorraad!E:E),"Niet gevonden")))</f>
        <v/>
      </c>
      <c r="O500" t="str">
        <f>IF(K500="","",IFERROR(_xlfn.XLOOKUP(K500,verfvoorraad!C:C,verfvoorraad!F:F),IFERROR(_xlfn.XLOOKUP(IF(LEFT(UPPER(K500),4)="REV-","REV-"&amp;VALUE(MID(K500,5,99)),IF(LEN(K500)=5,LEFT(K500,2)&amp;"."&amp;RIGHT(K500,3),K500)),verfvoorraad!E:E,verfvoorraad!F:F),"Niet gevonden")))</f>
        <v/>
      </c>
      <c r="P500" t="str">
        <f>IF(K500="","",IFERROR(_xlfn.XLOOKUP(K500,verfvoorraad!C:C,verfvoorraad!G:G),IFERROR(_xlfn.XLOOKUP(IF(LEFT(UPPER(K500),4)="REV-","REV-"&amp;VALUE(MID(K500,5,99)),IF(LEN(K500)=5,LEFT(K500,2)&amp;"."&amp;RIGHT(K500,3),K500)),verfvoorraad!E:E,verfvoorraad!G:G),"Niet gevonden")))</f>
        <v/>
      </c>
      <c r="Q500" s="29" t="str">
        <f t="shared" si="14"/>
        <v/>
      </c>
      <c r="R500" s="29" t="str">
        <f t="shared" si="15"/>
        <v/>
      </c>
    </row>
    <row r="501" spans="3:18" ht="15.75" thickTop="1" x14ac:dyDescent="0.25"/>
  </sheetData>
  <autoFilter ref="B19:R64" xr:uid="{D217495A-4400-4043-AD3B-83F509DB42E5}"/>
  <mergeCells count="3">
    <mergeCell ref="B3:C3"/>
    <mergeCell ref="B15:C15"/>
    <mergeCell ref="K15:L15"/>
  </mergeCells>
  <conditionalFormatting sqref="F20:F500">
    <cfRule type="containsText" dxfId="4" priority="2" operator="containsText" text="nee">
      <formula>NOT(ISERROR(SEARCH("nee",F20)))</formula>
    </cfRule>
    <cfRule type="containsText" dxfId="3" priority="3" operator="containsText" text="ja">
      <formula>NOT(ISERROR(SEARCH("ja",F20)))</formula>
    </cfRule>
  </conditionalFormatting>
  <conditionalFormatting sqref="H20:H500">
    <cfRule type="containsText" dxfId="2" priority="1" operator="containsText" text="ja">
      <formula>NOT(ISERROR(SEARCH("ja",H20)))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CE2F-21B0-46C8-88AA-CB6C1B67E86D}">
  <sheetPr>
    <pageSetUpPr fitToPage="1"/>
  </sheetPr>
  <dimension ref="B5:I8"/>
  <sheetViews>
    <sheetView tabSelected="1" workbookViewId="0">
      <selection activeCell="I8" sqref="I8"/>
    </sheetView>
  </sheetViews>
  <sheetFormatPr defaultRowHeight="15" x14ac:dyDescent="0.25"/>
  <cols>
    <col min="2" max="2" width="40.5703125" customWidth="1"/>
    <col min="3" max="3" width="15.28515625" style="7" bestFit="1" customWidth="1"/>
    <col min="4" max="4" width="13.7109375" bestFit="1" customWidth="1"/>
    <col min="5" max="5" width="17.28515625" style="7" bestFit="1" customWidth="1"/>
    <col min="6" max="6" width="11.5703125" style="7" bestFit="1" customWidth="1"/>
    <col min="7" max="7" width="16.28515625" style="7" bestFit="1" customWidth="1"/>
    <col min="8" max="8" width="13.7109375" style="7" bestFit="1" customWidth="1"/>
    <col min="9" max="9" width="12.85546875" bestFit="1" customWidth="1"/>
  </cols>
  <sheetData>
    <row r="5" spans="2:9" ht="23.25" x14ac:dyDescent="0.35">
      <c r="B5" s="36" t="s">
        <v>455</v>
      </c>
      <c r="C5" s="36"/>
      <c r="D5" s="36"/>
      <c r="E5" s="36"/>
      <c r="F5" s="36"/>
      <c r="G5" s="36"/>
      <c r="H5" s="36"/>
      <c r="I5" s="36"/>
    </row>
    <row r="7" spans="2:9" x14ac:dyDescent="0.25">
      <c r="B7" s="22" t="s">
        <v>96</v>
      </c>
      <c r="C7" s="33" t="s">
        <v>194</v>
      </c>
      <c r="D7" s="22" t="s">
        <v>404</v>
      </c>
      <c r="E7" s="33" t="s">
        <v>414</v>
      </c>
      <c r="F7" s="33" t="s">
        <v>456</v>
      </c>
      <c r="G7" s="33" t="s">
        <v>457</v>
      </c>
      <c r="H7" s="33" t="s">
        <v>566</v>
      </c>
      <c r="I7" s="33" t="s">
        <v>567</v>
      </c>
    </row>
    <row r="8" spans="2:9" x14ac:dyDescent="0.25">
      <c r="B8" t="str" cm="1">
        <f t="array" ref="B8:G8">IFERROR(_xlfn._xlws.SORT(_xlfn._xlws.FILTER(CHOOSE({1,2,3,4,5,6},verfvoorraad!B8:B505,verfvoorraad!C8:C505,verfvoorraad!D8:D505,verfvoorraad!E8:E505,verfvoorraad!F8:F505,verfvoorraad!I8:I505),verfvoorraad!H8:H505="Ja"),3,1),"Geen verf om te bestellen")</f>
        <v>Model Air - Rust</v>
      </c>
      <c r="C8" s="7" t="str">
        <v>080</v>
      </c>
      <c r="D8" t="str">
        <v>Model Air</v>
      </c>
      <c r="E8" s="7" t="str">
        <v>71.080</v>
      </c>
      <c r="F8" s="7" t="str">
        <v>Nee</v>
      </c>
      <c r="G8" s="7">
        <v>1</v>
      </c>
      <c r="H8" s="7">
        <f>COUNTIF(verfvoorraad!H8:H505,"Ja")</f>
        <v>1</v>
      </c>
      <c r="I8">
        <f>SUM(G8:G505)</f>
        <v>1</v>
      </c>
    </row>
  </sheetData>
  <mergeCells count="1">
    <mergeCell ref="B5:I5"/>
  </mergeCells>
  <conditionalFormatting sqref="F8:F100">
    <cfRule type="containsText" dxfId="1" priority="1" operator="containsText" text="nee">
      <formula>NOT(ISERROR(SEARCH("nee",F8)))</formula>
    </cfRule>
    <cfRule type="containsText" dxfId="0" priority="2" operator="containsText" text="ja">
      <formula>NOT(ISERROR(SEARCH("ja",F8)))</formula>
    </cfRule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76C2-EDB7-4308-8509-FD913286FB6B}">
  <dimension ref="B5:B7"/>
  <sheetViews>
    <sheetView workbookViewId="0">
      <selection activeCell="D10" sqref="D10"/>
    </sheetView>
  </sheetViews>
  <sheetFormatPr defaultRowHeight="15" x14ac:dyDescent="0.25"/>
  <cols>
    <col min="2" max="2" width="11.5703125" style="7" bestFit="1" customWidth="1"/>
  </cols>
  <sheetData>
    <row r="5" spans="2:2" x14ac:dyDescent="0.25">
      <c r="B5" s="7" t="s">
        <v>405</v>
      </c>
    </row>
    <row r="6" spans="2:2" x14ac:dyDescent="0.25">
      <c r="B6" s="7" t="s">
        <v>411</v>
      </c>
    </row>
    <row r="7" spans="2:2" x14ac:dyDescent="0.25">
      <c r="B7" s="7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verfvoorraad</vt:lpstr>
      <vt:lpstr>Verf zoeken</vt:lpstr>
      <vt:lpstr>Bestellijst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Mampaey</dc:creator>
  <cp:lastModifiedBy>Glen Mampaey</cp:lastModifiedBy>
  <cp:lastPrinted>2026-08-26T16:13:32Z</cp:lastPrinted>
  <dcterms:created xsi:type="dcterms:W3CDTF">2026-08-20T12:02:14Z</dcterms:created>
  <dcterms:modified xsi:type="dcterms:W3CDTF">2026-10-25T15:02:11Z</dcterms:modified>
</cp:coreProperties>
</file>